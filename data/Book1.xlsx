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onir\Downloads\snake_game_v2\dashboard\"/>
    </mc:Choice>
  </mc:AlternateContent>
  <xr:revisionPtr revIDLastSave="0" documentId="13_ncr:1_{9D2424D7-F8EA-4AFA-8615-0E56B99FACF6}" xr6:coauthVersionLast="47" xr6:coauthVersionMax="47" xr10:uidLastSave="{00000000-0000-0000-0000-000000000000}"/>
  <bookViews>
    <workbookView xWindow="28680" yWindow="-120" windowWidth="29040" windowHeight="15720" activeTab="5" xr2:uid="{70D0A116-D27A-458B-9A0C-5A6A446D71F4}"/>
  </bookViews>
  <sheets>
    <sheet name="Week 1(25 May-31 May)" sheetId="4" r:id="rId1"/>
    <sheet name="Week 2(01 Jun - 07 Jun)" sheetId="3" r:id="rId2"/>
    <sheet name="Week 3(08 Jun - 15 Jun)" sheetId="2" r:id="rId3"/>
    <sheet name="Week 4(16 Jun - 22 Jun)" sheetId="1" r:id="rId4"/>
    <sheet name="Week 5(21 Jun-28 Jun)" sheetId="7" r:id="rId5"/>
    <sheet name="Mail info"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4" i="5" l="1"/>
  <c r="G24" i="5" s="1"/>
  <c r="G3" i="5"/>
  <c r="G4" i="5"/>
  <c r="G5" i="5"/>
  <c r="G6" i="5"/>
  <c r="G7" i="5"/>
  <c r="G8" i="5"/>
  <c r="G9" i="5"/>
  <c r="G10" i="5"/>
  <c r="G11" i="5"/>
  <c r="G12" i="5"/>
  <c r="G13" i="5"/>
  <c r="G14" i="5"/>
  <c r="G15" i="5"/>
  <c r="G16" i="5"/>
  <c r="G17" i="5"/>
  <c r="G18" i="5"/>
  <c r="G19" i="5"/>
  <c r="G20" i="5"/>
  <c r="G21" i="5"/>
  <c r="G22" i="5"/>
  <c r="G23" i="5"/>
  <c r="G2" i="5"/>
</calcChain>
</file>

<file path=xl/sharedStrings.xml><?xml version="1.0" encoding="utf-8"?>
<sst xmlns="http://schemas.openxmlformats.org/spreadsheetml/2006/main" count="1700" uniqueCount="336">
  <si>
    <t>Ship Name</t>
  </si>
  <si>
    <t>IMO_No</t>
  </si>
  <si>
    <t>Report Type</t>
  </si>
  <si>
    <t>Start Date</t>
  </si>
  <si>
    <t>Start Time</t>
  </si>
  <si>
    <t>End Date</t>
  </si>
  <si>
    <t>End Time</t>
  </si>
  <si>
    <t>Voyage Number</t>
  </si>
  <si>
    <t>Time Zone</t>
  </si>
  <si>
    <t>Distance - Ground [NM]</t>
  </si>
  <si>
    <t>Time Shift</t>
  </si>
  <si>
    <t>Distance - Sea [NM]</t>
  </si>
  <si>
    <t>Average Load [kW]</t>
  </si>
  <si>
    <t>Average RPM</t>
  </si>
  <si>
    <t>Average Load [%]</t>
  </si>
  <si>
    <t>ME Rhrs (From Last Report)</t>
  </si>
  <si>
    <t>Report Hours</t>
  </si>
  <si>
    <t>Total Fuel Cons. [MT] (ME)</t>
  </si>
  <si>
    <t>Exh. Temp [°C] (Main Engine Unit 1)</t>
  </si>
  <si>
    <t>Exh. Temp [°C] (Main Engine Unit 2)</t>
  </si>
  <si>
    <t>Exh. Temp [°C] (Main Engine Unit 3)</t>
  </si>
  <si>
    <t>Exh. Temp [°C] (Main Engine Unit 4)</t>
  </si>
  <si>
    <t>Exh. Temp [°C] (Main Engine Unit 5)</t>
  </si>
  <si>
    <t>Exh. Temp [°C] (Main Engine Unit 6)</t>
  </si>
  <si>
    <t>Exh. Temp [°C] (Main Engine Unit 7)</t>
  </si>
  <si>
    <t>Exh. Temp [°C] (Main Engine Unit 8)</t>
  </si>
  <si>
    <t>Exh. Temp [°C] (Main Engine Unit 9)</t>
  </si>
  <si>
    <t>Exh. Temp [°C] (Main Engine Unit 10)</t>
  </si>
  <si>
    <t>Exh. Temp [°C] (Main Engine Unit 11)</t>
  </si>
  <si>
    <t>Exh. Temp [°C] (Main Engine Unit 12)</t>
  </si>
  <si>
    <t>Exh. Temp [°C] (Main Engine Unit 13)</t>
  </si>
  <si>
    <t>Exh. Temp [°C] (Main Engine Unit 14)</t>
  </si>
  <si>
    <t>Exh. Temp [°C] (Main Engine Unit 15)</t>
  </si>
  <si>
    <t>Exh. Temp [°C] (Main Engine Unit 16)</t>
  </si>
  <si>
    <t>SFOC</t>
  </si>
  <si>
    <t>SCOC</t>
  </si>
  <si>
    <t>A.E. 1 Last Report [Rhrs] (Aux Engine Unit 1)</t>
  </si>
  <si>
    <t>Cyl. Oil Cons. [Ltrs]</t>
  </si>
  <si>
    <t>Reason</t>
  </si>
  <si>
    <t>AL LULU</t>
  </si>
  <si>
    <t>At Sea</t>
  </si>
  <si>
    <t>03B</t>
  </si>
  <si>
    <t>(UTC+03:00) Istanbul</t>
  </si>
  <si>
    <t>SFOC out of 150-200 g/kwh at sea with ME Rhrs &gt; 12 (Calculated SFOC: 203.34 g/kwh); SCOC(Specific Cylinder Oil Consumption) (0.12) is lower than normal range (0.6-1.7)</t>
  </si>
  <si>
    <t>AL NAHDA</t>
  </si>
  <si>
    <t>(UTC+04:00) Samara, Ulyanovsk, Saratov</t>
  </si>
  <si>
    <t>SFOC out of 150-200 g/kwh at sea with ME Rhrs &gt; 12 (Calculated SFOC: 83.33 g/kwh); SCOC(Specific Cylinder Oil Consumption) (0.47) is lower than normal range (0.6-1.7)</t>
  </si>
  <si>
    <t>At Anchorage</t>
  </si>
  <si>
    <t>Rule 7 (Reporting Gap): There is a 9.50 hour gap between the end date and time of previous report and start date and time in current report (Prev End: 2026-06-16 12:00:00, Curr Start: 2026-06-16 02:30:00) | Report Info: 16-Jun-26 02:30</t>
  </si>
  <si>
    <t>Manoeuvring Arrival</t>
  </si>
  <si>
    <t>Rule 7 (Reporting Gap): There is a 24.00 hour gap between the end date and time of previous report and start date and time in current report (Prev End: 2026-06-17 12:00:00, Curr Start: 2026-06-16 12:00:00) | Report Info: 16-Jun-26 12:00</t>
  </si>
  <si>
    <t>Rule 7 (Reporting Gap): There is a 33.50 hour gap between the end date and time of previous report and start date and time in current report (Prev End: 2026-06-16 02:30:00, Curr Start: 2026-06-17 12:00:00) | Report Info: 17-Jun-26 12:00</t>
  </si>
  <si>
    <t>Rule 7 (Reporting Gap): There is a 48.00 hour gap between the end date and time of previous report and start date and time in current report (Prev End: 2026-06-19 12:00:00, Curr Start: 2026-06-17 12:00:00) | Report Info: 17-Jun-26 12:00</t>
  </si>
  <si>
    <t>Rule 7 (Reporting Gap): There is a 24.00 hour gap between the end date and time of previous report and start date and time in current report (Prev End: 2026-06-18 12:00:00, Curr Start: 2026-06-19 12:00:00) | Report Info: 19-Jun-26 12:00</t>
  </si>
  <si>
    <t>Manoeuvring Departure</t>
  </si>
  <si>
    <t>Rule 7 (Reporting Gap): There is a 23.50 hour gap between the end date and time of previous report and start date and time in current report (Prev End: 2026-06-21 11:30:00, Curr Start: 2026-06-20 12:00:00) | Report Info: 20-Jun-26 12:00</t>
  </si>
  <si>
    <t>Rule 7 (Reporting Gap): There is a 15.50 hour gap between the end date and time of previous report and start date and time in current report (Prev End: 2026-06-20 20:00:00, Curr Start: 2026-06-21 11:30:00) | Report Info: 21-Jun-26 11:30</t>
  </si>
  <si>
    <t>AL RAWDAH</t>
  </si>
  <si>
    <t>(UTC-04:00) Eastern Daylight Time (US &amp; Canada)</t>
  </si>
  <si>
    <t>SFOC out of 150-200 g/kwh at sea with ME Rhrs &gt; 12 (Calculated SFOC: 239.65 g/kwh)</t>
  </si>
  <si>
    <t>SFOC out of 150-200 g/kwh at sea with ME Rhrs &gt; 12 (Calculated SFOC: 201.27 g/kwh)</t>
  </si>
  <si>
    <t>SFOC out of 150-200 g/kwh at sea with ME Rhrs &gt; 12 (Calculated SFOC: 225.42 g/kwh)</t>
  </si>
  <si>
    <t>SFOC out of 150-200 g/kwh at sea with ME Rhrs &gt; 12 (Calculated SFOC: 224.49 g/kwh)</t>
  </si>
  <si>
    <t>SFOC out of 150-200 g/kwh at sea with ME Rhrs &gt; 12 (Calculated SFOC: 220.83 g/kwh)</t>
  </si>
  <si>
    <t>SFOC out of 150-200 g/kwh at sea with ME Rhrs &gt; 12 (Calculated SFOC: 231.83 g/kwh)</t>
  </si>
  <si>
    <t>AL SAAD</t>
  </si>
  <si>
    <t>(UTC+07:00) Bangkok, Hanoi, Jakarta</t>
  </si>
  <si>
    <t>Validation – 2 Aux Engines operating at sea with ME Load greater than 40% (Ratio: 2.00) and no sub consumers reported.</t>
  </si>
  <si>
    <t>Validation – 2 Aux Engines operating at sea with ME Load greater than 40% (Ratio: 1.92) and no sub consumers reported.</t>
  </si>
  <si>
    <t>AL SEEF</t>
  </si>
  <si>
    <t>SFOC out of 150-200 g/kwh at sea with ME Rhrs &gt; 12 (Calculated SFOC: 243.91 g/kwh)</t>
  </si>
  <si>
    <t>SFOC out of 150-200 g/kwh at sea with ME Rhrs &gt; 12 (Calculated SFOC: 254.07 g/kwh)</t>
  </si>
  <si>
    <t>SFOC out of 150-200 g/kwh at sea with ME Rhrs &gt; 12 (Calculated SFOC: 260.12 g/kwh)</t>
  </si>
  <si>
    <t>SFOC out of 150-200 g/kwh at sea with ME Rhrs &gt; 12 (Calculated SFOC: 244.69 g/kwh)</t>
  </si>
  <si>
    <t>GULF BARAKAH</t>
  </si>
  <si>
    <t>623S</t>
  </si>
  <si>
    <t>SFOC out of 150-200 g/kwh at sea with ME Rhrs &gt; 12 (Calculated SFOC: 69.26 g/kwh); SCOC(Specific Cylinder Oil Consumption) (0.42) is lower than normal range (0.6-1.7)</t>
  </si>
  <si>
    <t>SFOC out of 150-200 g/kwh at sea with ME Rhrs &gt; 12 (Calculated SFOC: 15.45 g/kwh)</t>
  </si>
  <si>
    <t>JINANAH</t>
  </si>
  <si>
    <t>JNHFES2604E</t>
  </si>
  <si>
    <t>SFOC out of 150-200 g/kwh at sea with ME Rhrs &gt; 12 (Calculated SFOC: 285.30 g/kwh); SCOC(Specific Cylinder Oil Consumption) (0.00) is lower than normal range (0.6-1.7)</t>
  </si>
  <si>
    <t>SFOC out of 150-200 g/kwh at sea with ME Rhrs &gt; 12 (Calculated SFOC: 337.82 g/kwh); SCOC(Specific Cylinder Oil Consumption) (0.00) is lower than normal range (0.6-1.7)</t>
  </si>
  <si>
    <t>SFOC out of 150-200 g/kwh at sea with ME Rhrs &gt; 12 (Calculated SFOC: 336.82 g/kwh); SCOC(Specific Cylinder Oil Consumption) (0.00) is lower than normal range (0.6-1.7)</t>
  </si>
  <si>
    <t>SFOC out of 150-200 g/kwh at sea with ME Rhrs &gt; 12 (Calculated SFOC: 329.17 g/kwh); SCOC(Specific Cylinder Oil Consumption) (0.00) is lower than normal range (0.6-1.7)</t>
  </si>
  <si>
    <t>SAFEEN AL AMAL</t>
  </si>
  <si>
    <t>026L</t>
  </si>
  <si>
    <t>(UTC+08:00) Beijing, Chongqing, Hong Kong, Urumqi</t>
  </si>
  <si>
    <t>SFOC out of 150-200 g/kwh at sea with ME Rhrs &gt; 12 (Calculated SFOC: 203.94 g/kwh)</t>
  </si>
  <si>
    <t>SFOC out of 150-200 g/kwh at sea with ME Rhrs &gt; 12 (Calculated SFOC: 202.93 g/kwh)</t>
  </si>
  <si>
    <t>SAFEEN AL NOUR</t>
  </si>
  <si>
    <t>31L</t>
  </si>
  <si>
    <t>031LA</t>
  </si>
  <si>
    <t>Rule 7 (Reporting Gap): There is a 24.00 hour gap between the end date and time of previous report and start date and time in current report (Prev End: 2026-06-21 12:00:00, Curr Start: 2026-06-20 12:00:00) | Report Info: 20-Jun-26 12:00</t>
  </si>
  <si>
    <t>SAFEEN PIONEER</t>
  </si>
  <si>
    <t>(UTC+03:30) Tehran</t>
  </si>
  <si>
    <t>Validation – 2 Aux Engines operating at sea with ME Load greater than 40% (Ratio: 2.04) and no sub consumers reported.</t>
  </si>
  <si>
    <t>Validation – 2 Aux Engines operating at sea with ME Load greater than 40% (Ratio: 3.00) and no sub consumers reported.</t>
  </si>
  <si>
    <t>SAFEEN PRIDE</t>
  </si>
  <si>
    <t>SFOC out of 150-200 g/kwh at sea with ME Rhrs &gt; 12 (Calculated SFOC: 239.32 g/kwh); Validation – 2 Aux Engines operating at sea with ME Load greater than 40% (Ratio: 2.03) and no sub consumers reported.</t>
  </si>
  <si>
    <t>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 SCOC(Specific Cylinder Oil Consumption) (2.43) is higher than normal range (0.6-1.7)</t>
  </si>
  <si>
    <t>AL DANAH</t>
  </si>
  <si>
    <t>09-Jun-26</t>
  </si>
  <si>
    <t>12:00</t>
  </si>
  <si>
    <t>15:48</t>
  </si>
  <si>
    <t>Rule 7 (Reporting Gap): There is a 0.50 hour gap between the end date and time of previous report and start date and time in current report (Prev End: 2026-06-09 12:30:00, Curr Start: 2026-06-09 12:00:00) | Report Info: 09-Jun-26 12:00</t>
  </si>
  <si>
    <t>12-Jun-26</t>
  </si>
  <si>
    <t>21:00</t>
  </si>
  <si>
    <t>13-Jun-26</t>
  </si>
  <si>
    <t>09:42</t>
  </si>
  <si>
    <t>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</si>
  <si>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AL MAQAM</t>
  </si>
  <si>
    <t>07-Jun-26</t>
  </si>
  <si>
    <t>08-Jun-26</t>
  </si>
  <si>
    <t>2333B</t>
  </si>
  <si>
    <t>Validation – 2 Aux Engines operating at sea with ME Load greater than 40% (Ratio: 1.92)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</si>
  <si>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10-Jun-26</t>
  </si>
  <si>
    <t>13:00</t>
  </si>
  <si>
    <t>18:00</t>
  </si>
  <si>
    <t>Rule 7 (Reporting Gap): There is a 1.00 hour gap between the end date and time of previous report and start date and time in current report (Prev End: 2026-06-10 12:00:00, Curr Start: 2026-06-10 13:00:00) | Report Info: 10-Jun-26 13:00</t>
  </si>
  <si>
    <t>11-Jun-26</t>
  </si>
  <si>
    <t>16:00</t>
  </si>
  <si>
    <t>17:00</t>
  </si>
  <si>
    <t>Rule 7 (Reporting Gap): There is a 4.00 hour gap between the end date and time of previous report and start date and time in current report (Prev End: 2026-06-11 12:00:00, Curr Start: 2026-06-11 16:00:00) | Report Info: 11-Jun-26 16:00</t>
  </si>
  <si>
    <t>05:30</t>
  </si>
  <si>
    <t>11:30</t>
  </si>
  <si>
    <t>Rule 7 (Reporting Gap): There is a 12.50 hour gap between the end date and time of previous report and start date and time in current report (Prev End: 2026-06-11 17:00:00, Curr Start: 2026-06-12 05:30:00) | Report Info: 12-Jun-26 05:30</t>
  </si>
  <si>
    <t>Drifting</t>
  </si>
  <si>
    <t>19:00</t>
  </si>
  <si>
    <t>Rule 7 (Reporting Gap): There is a 0.50 hour gap between the end date and time of previous report and start date and time in current report (Prev End: 2026-06-12 11:30:00, Curr Start: 2026-06-12 12:00:00) | Report Info: 12-Jun-26 12:00</t>
  </si>
  <si>
    <t>(UTC+05:00) Ashgabat, Tashkent</t>
  </si>
  <si>
    <t>(UTC+06:00) Nur-Sultan (Astana)</t>
  </si>
  <si>
    <t>14-Jun-26</t>
  </si>
  <si>
    <t>SFOC out of 150-200 g/kwh at sea with ME Rhrs &gt; 12 (Calculated SFOC: 218.24 g/kwh); SCOC(Specific Cylinder Oil Consumption) (0.55) is lower than normal range (0.6-1.7)</t>
  </si>
  <si>
    <t>SFOC out of 150-200 g/kwh at sea with ME Rhrs &gt; 12 (Calculated SFOC: 219.79 g/kwh)</t>
  </si>
  <si>
    <t>02:30</t>
  </si>
  <si>
    <t>SFOC out of 150-200 g/kwh at sea with ME Rhrs &gt; 12 (Calculated SFOC: 13.28 g/kwh); SCOC(Specific Cylinder Oil Consumption) (0.21) is lower than normal range (0.6-1.7)</t>
  </si>
  <si>
    <t>SFOC out of 150-200 g/kwh at sea with ME Rhrs &gt; 12 (Calculated SFOC: 247.92 g/kwh)</t>
  </si>
  <si>
    <t>SCOC(Specific Cylinder Oil Consumption) (0.50) is lower than normal range (0.6-1.7)</t>
  </si>
  <si>
    <t>10:18</t>
  </si>
  <si>
    <t>(UTC+05:30) Chennai, Kolkata, Mumbai, New Delhi</t>
  </si>
  <si>
    <t>SFOC out of 150-200 g/kwh at sea with ME Rhrs &gt; 12 (Calculated SFOC: 253.96 g/kwh)</t>
  </si>
  <si>
    <t>14:18</t>
  </si>
  <si>
    <t>623s</t>
  </si>
  <si>
    <t>(UTC+04:30) Kabul</t>
  </si>
  <si>
    <t>Validation – 2 Aux Engines operating at sea with ME Load greater than 40% (Ratio: 2.09)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</si>
  <si>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At Port</t>
  </si>
  <si>
    <t>15:54</t>
  </si>
  <si>
    <t>13:30</t>
  </si>
  <si>
    <t>Rule 7 (Reporting Gap): There is a 0.50 hour gap between the end date and time of previous report and start date and time in current report (Prev End: 2026-06-10 15:24:00, Curr Start: 2026-06-10 15:54:00) | Report Info: 10-Jun-26 15:54</t>
  </si>
  <si>
    <t>SFOC out of 150-200 g/kwh at sea with ME Rhrs &gt; 12 (Calculated SFOC: 78.69 g/kwh)</t>
  </si>
  <si>
    <t>RAMHAN</t>
  </si>
  <si>
    <t>09:30</t>
  </si>
  <si>
    <t>RMHNFEMEA2</t>
  </si>
  <si>
    <t>SFOC out of 150-200 g/kwh at sea with ME Rhrs &gt; 12 (Calculated SFOC: 237.65 g/kwh)</t>
  </si>
  <si>
    <t>(UTC-05:00) Bogota, Lima, Quito</t>
  </si>
  <si>
    <t>(UTC-06:00) Central America</t>
  </si>
  <si>
    <t>31B</t>
  </si>
  <si>
    <t>Validation – 2 Aux Engines operating at sea with ME Load greater than 40% (Ratio: 1.28)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</si>
  <si>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Validation – 2 Aux Engines operating at sea with ME Load greater than 40% (Ratio: 1.56)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</si>
  <si>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01:18</t>
  </si>
  <si>
    <t>SFOC out of 150-200 g/kwh at sea with ME Rhrs &gt; 12 (Calculated SFOC: 26647.39 g/kwh)</t>
  </si>
  <si>
    <t>TRAVELLER</t>
  </si>
  <si>
    <t>003L26</t>
  </si>
  <si>
    <t>SFOC out of 170-240 g/kwh at sea with ME Rhrs &gt; 12 (Calculated SFOC: 94.60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</si>
  <si>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Exhaust temp deviation &gt; ±50 from avg at Unit 3; Exhaust temp deviation &gt; ±50 from avg at Unit 8; SFOC out of 170-240 g/kwh at sea with ME Rhrs &gt; 12 (Calculated SFOC: 118.90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</si>
  <si>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Exhaust temp deviation &gt; ±50 from avg at Unit 2; Exhaust temp deviation &gt; ±50 from avg at Unit 3; Exhaust temp deviation &gt; ±50 from avg at Unit 8; SFOC out of 170-240 g/kwh at sea with ME Rhrs &gt; 12 (Calculated SFOC: 113.73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</si>
  <si>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Exhaust temp deviation &gt; ±50 from avg at Unit 2; Exhaust temp deviation &gt; ±50 from avg at Unit 8; SFOC out of 170-240 g/kwh at sea with ME Rhrs &gt; 12 (Calculated SFOC: 118.98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</si>
  <si>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UGR BARCELONA</t>
  </si>
  <si>
    <t>21:54</t>
  </si>
  <si>
    <t>UBCGFS2608</t>
  </si>
  <si>
    <t>Rule 7 (Reporting Gap): There is a 24.00 hour gap between the end date and time of previous report and start date and time in current report (Prev End: 2026-06-12 12:00:00, Curr Start: 2026-06-11 12:00:00) | Report Info: 11-Jun-26 12:00</t>
  </si>
  <si>
    <t>Rule 7 (Reporting Gap): There is a 14.10 hour gap between the end date and time of previous report and start date and time in current report (Prev End: 2026-06-11 21:54:00, Curr Start: 2026-06-12 12:00:00) | Report Info: 12-Jun-26 12:00</t>
  </si>
  <si>
    <t>05-Jun-26</t>
  </si>
  <si>
    <t>17:30</t>
  </si>
  <si>
    <t>06-Jun-26</t>
  </si>
  <si>
    <t>Validation – 2 Aux Engines operating at sea with ME Load greater than 40% (Ratio: 1.89)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</si>
  <si>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03-Jun-26</t>
  </si>
  <si>
    <t>04-Jun-26</t>
  </si>
  <si>
    <t>02-Jun-26</t>
  </si>
  <si>
    <t>SFOC out of 150-200 g/kwh at sea with ME Rhrs &gt; 12 (Calculated SFOC: 275.19 g/kwh)</t>
  </si>
  <si>
    <t>SFOC out of 150-200 g/kwh at sea with ME Rhrs &gt; 12 (Calculated SFOC: 262.54 g/kwh)</t>
  </si>
  <si>
    <t>SFOC out of 150-200 g/kwh at sea with ME Rhrs &gt; 12 (Calculated SFOC: 230.98 g/kwh); SCOC(Specific Cylinder Oil Consumption) (0.55) is lower than normal range (0.6-1.7)</t>
  </si>
  <si>
    <t>SFOC out of 150-200 g/kwh at sea with ME Rhrs &gt; 12 (Calculated SFOC: 236.92 g/kwh); SCOC(Specific Cylinder Oil Consumption) (0.57) is lower than normal range (0.6-1.7)</t>
  </si>
  <si>
    <t>REP1</t>
  </si>
  <si>
    <t>SFOC out of 150-200 g/kwh at sea with ME Rhrs &gt; 12 (Calculated SFOC: 225.70 g/kwh); SCOC(Specific Cylinder Oil Consumption) (0.56) is lower than normal range (0.6-1.7)</t>
  </si>
  <si>
    <t>20:40</t>
  </si>
  <si>
    <t>620N</t>
  </si>
  <si>
    <t>Rule 7 (Reporting Gap): There is a 0.07 hour gap between the end date and time of previous report and start date and time in current report (Prev End: 2026-06-02 20:36:00, Curr Start: 2026-06-02 20:40:00) | Report Info: 02-Jun-26 20:40</t>
  </si>
  <si>
    <t>31-May-26</t>
  </si>
  <si>
    <t>01-Jun-26</t>
  </si>
  <si>
    <t>SFOC out of 150-200 g/kwh at sea with ME Rhrs &gt; 12 (Calculated SFOC: 231.50 g/kwh)</t>
  </si>
  <si>
    <t>Validation – 2 Aux Engines operating at sea with ME Load greater than 40% (Ratio: 1.29)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</si>
  <si>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031L</t>
  </si>
  <si>
    <t>SAFEEN PEARL</t>
  </si>
  <si>
    <t>21:48</t>
  </si>
  <si>
    <t>23:30</t>
  </si>
  <si>
    <t>SPEL0038</t>
  </si>
  <si>
    <t>Rule 7 (Reporting Gap): There is a 0.10 hour gap between the end date and time of previous report and start date and time in current report (Prev End: 2026-06-04 21:42:00, Curr Start: 2026-06-04 21:48:00) | Report Info: 04-Jun-26 21:48</t>
  </si>
  <si>
    <t>SFOC out of 170-240 g/kwh at sea with ME Rhrs &gt; 12 (Calculated SFOC: 163.64 g/kwh)</t>
  </si>
  <si>
    <t>SAFEEN PRIZE</t>
  </si>
  <si>
    <t>SAFEEN PROSPER</t>
  </si>
  <si>
    <t>08:24</t>
  </si>
  <si>
    <t>SFOC out of 150-200 g/kwh at sea with ME Rhrs &gt; 12 (Calculated SFOC: 215.99 g/kwh)</t>
  </si>
  <si>
    <t>18:30</t>
  </si>
  <si>
    <t>SFOC out of 150-200 g/kwh at sea with ME Rhrs &gt; 12 (Calculated SFOC: 688.93 g/kwh)</t>
  </si>
  <si>
    <t>08:12</t>
  </si>
  <si>
    <t>SFOC out of 150-200 g/kwh at sea with ME Rhrs &gt; 12 (Calculated SFOC: 206.70 g/kwh)</t>
  </si>
  <si>
    <t>UGR AL REEF</t>
  </si>
  <si>
    <t>00:00</t>
  </si>
  <si>
    <t>UARGFS2607</t>
  </si>
  <si>
    <t>SFOC out of 150-200 g/kwh at sea with ME Rhrs &gt; 12 (Calculated SFOC: 218.42 g/kwh)</t>
  </si>
  <si>
    <t>SFOC out of 150-200 g/kwh at sea with ME Rhrs &gt; 12 (Calculated SFOC: 215.92 g/kwh)</t>
  </si>
  <si>
    <t>SFOC out of 150-200 g/kwh at sea with ME Rhrs &gt; 12 (Calculated SFOC: 232.63 g/kwh); Rule 7 (Reporting Gap): There is a 12.00 hour gap between the end date and time of previous report and start date and time in current report (Prev End: 2026-06-02 00:00:00, Curr Start: 2026-06-02 12:00:00) | Report Info: 02-Jun-26 12:00</t>
  </si>
  <si>
    <t>24-May-26</t>
  </si>
  <si>
    <t>25-May-26</t>
  </si>
  <si>
    <t>26-May-26</t>
  </si>
  <si>
    <t>14:24</t>
  </si>
  <si>
    <t>02L</t>
  </si>
  <si>
    <t>(UTC+02:00) Athens, Bucharest</t>
  </si>
  <si>
    <t>Validation – 2 Aux Engines operating at sea with ME Load greater than 40% (Ratio: 1.25)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</si>
  <si>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28-May-26</t>
  </si>
  <si>
    <t>09:00</t>
  </si>
  <si>
    <t>Rule 7 (Reporting Gap): There is a 2.00 hour gap between the end date and time of previous report and start date and time in current report (Prev End: 2026-05-28 07:00:00, Curr Start: 2026-05-28 09:00:00) | Report Info: 28-May-26 09:00</t>
  </si>
  <si>
    <t>14:00</t>
  </si>
  <si>
    <t>27-May-26</t>
  </si>
  <si>
    <t>SFOC out of 150-200 g/kwh at sea with ME Rhrs &gt; 12 (Calculated SFOC: 203.24 g/kwh)</t>
  </si>
  <si>
    <t>10:00</t>
  </si>
  <si>
    <t>SFOC out of 150-200 g/kwh at sea with ME Rhrs &gt; 12 (Calculated SFOC: 264.23 g/kwh); Validation – 2 Aux Engines operating at sea with ME Load greater than 40% (Ratio: 2.25)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 SCOC(Specific Cylinder Oil Consumption) (1.83) is higher than normal range (0.6-1.7)</t>
  </si>
  <si>
    <t>23:00</t>
  </si>
  <si>
    <t>15:00</t>
  </si>
  <si>
    <t>30-May-26</t>
  </si>
  <si>
    <t>11:08</t>
  </si>
  <si>
    <t>02:40</t>
  </si>
  <si>
    <t>SFOC out of 150-200 g/kwh at sea with ME Rhrs &gt; 12 (Calculated SFOC: 278.07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 SCOC(Specific Cylinder Oil Consumption) (2.05) is higher than normal range (0.6-1.7)</t>
  </si>
  <si>
    <t>29-May-26</t>
  </si>
  <si>
    <t>Validation – 2 Aux Engines operating at sea with ME Load greater than 40% (Ratio: 1.26)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</si>
  <si>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15:36</t>
  </si>
  <si>
    <t>SFOC out of 150-200 g/kwh at sea with ME Rhrs &gt; 12 (Calculated SFOC: 1600.00 g/kwh); SCOC(Specific Cylinder Oil Consumption) (0.00) is lower than normal range (0.6-1.7)</t>
  </si>
  <si>
    <t>SCOC(Specific Cylinder Oil Consumption) (0.00) is lower than normal range (0.6-1.7)</t>
  </si>
  <si>
    <t>JNHFE2604E</t>
  </si>
  <si>
    <t>19:06</t>
  </si>
  <si>
    <t>SFOC out of 150-200 g/kwh at sea with ME Rhrs &gt; 12 (Calculated SFOC: 317.50 g/kwh); SCOC(Specific Cylinder Oil Consumption) (0.00) is lower than normal range (0.6-1.7)</t>
  </si>
  <si>
    <t>22:42</t>
  </si>
  <si>
    <t>SFOC out of 150-200 g/kwh at sea with ME Rhrs &gt; 12 (Calculated SFOC: 210.53 g/kwh)</t>
  </si>
  <si>
    <t>(UTC) Coordinated Universal Time</t>
  </si>
  <si>
    <t>(UTC+01:00) Edinburgh, London</t>
  </si>
  <si>
    <t>Validation – 2 Aux Engines operating at sea with ME Load greater than 40% (Ratio: 2.12)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</si>
  <si>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(UTC-02:00) Coordinated Universal Time-02</t>
  </si>
  <si>
    <t>SAFEEN AL SAFA</t>
  </si>
  <si>
    <t>21L</t>
  </si>
  <si>
    <t>(UTC-03:00) Brasilia</t>
  </si>
  <si>
    <t>SCOC(Specific Cylinder Oil Consumption) (0.57) is lower than normal range (0.6-1.7)</t>
  </si>
  <si>
    <t>SCOC(Specific Cylinder Oil Consumption) (0.58) is lower than normal range (0.6-1.7)</t>
  </si>
  <si>
    <t>06:00</t>
  </si>
  <si>
    <t>SPEL0037</t>
  </si>
  <si>
    <t>SFOC out of 170-240 g/kwh at sea with ME Rhrs &gt; 12 (Calculated SFOC: 168.65 g/kwh)</t>
  </si>
  <si>
    <t>20:08</t>
  </si>
  <si>
    <t>SFOC out of 150-200 g/kwh at sea with ME Rhrs &gt; 12 (Calculated SFOC: 226.20 g/kwh)</t>
  </si>
  <si>
    <t>SFOC out of 150-200 g/kwh at sea with ME Rhrs &gt; 12 (Calculated SFOC: 205.08 g/kwh)</t>
  </si>
  <si>
    <t>SFOC out of 150-200 g/kwh at sea with ME Rhrs &gt; 12 (Calculated SFOC: 201.92 g/kwh)</t>
  </si>
  <si>
    <t>SUPERFAST BALEARES</t>
  </si>
  <si>
    <t>SFOC out of 170-240 g/kwh at sea with ME Rhrs &gt; 12 (Calculated SFOC: 285.14 g/kwh)</t>
  </si>
  <si>
    <t>SFOC out of 170-240 g/kwh at sea with ME Rhrs &gt; 12 (Calculated SFOC: 154.62 g/kwh)</t>
  </si>
  <si>
    <t>SFOC out of 170-240 g/kwh at sea with ME Rhrs &gt; 12 (Calculated SFOC: 128.42 g/kwh)</t>
  </si>
  <si>
    <t>Rule 7 (Reporting Gap): There is a 14.10 hour gap between the end date and time of previous report and start date and time in current report (Prev End: 2026-05-30 12:00:00, Curr Start: 2026-05-29 21:54:00) | Report Info: 29-May-26 21:54</t>
  </si>
  <si>
    <t>Rule 7 (Reporting Gap): There is a 24.00 hour gap between the end date and time of previous report and start date and time in current report (Prev End: 2026-05-29 12:00:00, Curr Start: 2026-05-30 12:00:00) | Report Info: 30-May-26 12:00</t>
  </si>
  <si>
    <t>SFOC out of 150-200 g/kwh at sea with ME Rhrs &gt; 12 (Calculated SFOC: 211.46 g/kwh)</t>
  </si>
  <si>
    <t>SFOC out of 150-200 g/kwh at sea with ME Rhrs &gt; 12 (Calculated SFOC: 215.57 g/kwh)</t>
  </si>
  <si>
    <t>SFOC out of 150-200 g/kwh at sea with ME Rhrs &gt; 12 (Calculated SFOC: 211.05 g/kwh)</t>
  </si>
  <si>
    <t>Ship Name (CSM Noatum)</t>
  </si>
  <si>
    <t>Week 1</t>
  </si>
  <si>
    <t>Week 2</t>
  </si>
  <si>
    <t>Week 3</t>
  </si>
  <si>
    <t>Week 4</t>
  </si>
  <si>
    <t>Total Count</t>
  </si>
  <si>
    <t>AL SEEF / AL Seef</t>
  </si>
  <si>
    <t>JINANAH / Jinanah</t>
  </si>
  <si>
    <t>GRAND TOTAL</t>
  </si>
  <si>
    <t>Avg. Speed</t>
  </si>
  <si>
    <t>26-Jun-26</t>
  </si>
  <si>
    <t>27-Jun-26</t>
  </si>
  <si>
    <t>21-Jun-26</t>
  </si>
  <si>
    <t>22-Jun-26</t>
  </si>
  <si>
    <t>23-Jun-26</t>
  </si>
  <si>
    <t>24-Jun-26</t>
  </si>
  <si>
    <t>25-Jun-26</t>
  </si>
  <si>
    <t>20-Jun-26</t>
  </si>
  <si>
    <t>23:42</t>
  </si>
  <si>
    <t>003B</t>
  </si>
  <si>
    <t>SFOC out of 150-200 g/kwh at sea with ME Rhrs &gt; 12 (Calculated SFOC: 204.11 g/kwh)</t>
  </si>
  <si>
    <t>SFOC out of 150-200 g/kwh at sea with ME Rhrs &gt; 12 (Calculated SFOC: 231.93 g/kwh)</t>
  </si>
  <si>
    <t>SFOC out of 150-200 g/kwh at sea with ME Rhrs &gt; 12 (Calculated SFOC: 213.12 g/kwh)</t>
  </si>
  <si>
    <t>SFOC out of 150-200 g/kwh at sea with ME Rhrs &gt; 12 (Calculated SFOC: 215.64 g/kwh)</t>
  </si>
  <si>
    <t>SFOC out of 150-200 g/kwh at sea with ME Rhrs &gt; 12 (Calculated SFOC: 202.10 g/kwh)</t>
  </si>
  <si>
    <t>22:00</t>
  </si>
  <si>
    <t>625N</t>
  </si>
  <si>
    <t>SFOC out of 150-200 g/kwh at sea with ME Rhrs &gt; 12 (Calculated SFOC: 217.98 g/kwh)</t>
  </si>
  <si>
    <t>Validation – 2 Aux Engines operating at sea with ME Load greater than 40% (Ratio: 3.00)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</si>
  <si>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 xml:space="preserve">JNH-FES2604E </t>
  </si>
  <si>
    <t>Rule 7 (Reporting Gap): There is a 35.25 hour gap between the end date and time of previous report and start date and time in current report (Prev End: 2026-06-21 23:15:00, Curr Start: 2026-06-20 12:00:00) | Report Info: 20-Jun-26 12:00</t>
  </si>
  <si>
    <t>14:25</t>
  </si>
  <si>
    <t>Rule 7 (Reporting Gap): There is a 18.00 hour gap between the end date and time of previous report and start date and time in current report (Prev End: 2026-06-21 12:00:00, Curr Start: 2026-06-22 06:00:00) | Report Info: 22-Jun-26 06:00</t>
  </si>
  <si>
    <t>04:18</t>
  </si>
  <si>
    <t>07:40</t>
  </si>
  <si>
    <t>Rule 7 (Reporting Gap): There is a 13.88 hour gap between the end date and time of previous report and start date and time in current report (Prev End: 2026-06-22 14:25:00, Curr Start: 2026-06-23 04:18:00) | Report Info: 23-Jun-26 04:18</t>
  </si>
  <si>
    <t>SFOC out of 150-200 g/kwh at sea with ME Rhrs &gt; 12 (Calculated SFOC: 203.22 g/kwh)</t>
  </si>
  <si>
    <t>SFOC out of 150-200 g/kwh at sea with ME Rhrs &gt; 12 (Calculated SFOC: 207.61 g/kwh)</t>
  </si>
  <si>
    <t>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 Rule 7 (Reporting Gap): There is a 14.00 hour gap between the end date and time of previous report and start date and time in current report (Prev End: 2026-06-20 22:00:00, Curr Start: 2026-06-21 12:00:00) | Report Info: 21-Jun-26 12:00</t>
  </si>
  <si>
    <t>31LA</t>
  </si>
  <si>
    <t>18:48</t>
  </si>
  <si>
    <t>Rule 7 (Reporting Gap): There is a 25.00 hour gap between the end date and time of previous report and start date and time in current report (Prev End: 2026-06-26 19:48:00, Curr Start: 2026-06-25 18:48:00) | Report Info: 25-Jun-26 18:48</t>
  </si>
  <si>
    <t>19:48</t>
  </si>
  <si>
    <t>04:48</t>
  </si>
  <si>
    <t>Rule 7 (Reporting Gap): There is a 7.80 hour gap between the end date and time of previous report and start date and time in current report (Prev End: 2026-06-26 12:00:00, Curr Start: 2026-06-26 19:48:00) | Report Info: 26-Jun-26 19:48</t>
  </si>
  <si>
    <t>14:30</t>
  </si>
  <si>
    <t>Exhaust temp deviation &gt; ±50 from avg at Unit 2; Exhaust temp deviation &gt; ±50 from avg at Unit 4</t>
  </si>
  <si>
    <t>004B26</t>
  </si>
  <si>
    <t>Exhaust temp deviation &gt; ±50 from avg at Unit 2; Exhaust temp deviation &gt; ±50 from avg at Unit 3; Exhaust temp deviation &gt; ±50 from avg at Unit 8; SFOC out of 170-240 g/kwh at sea with ME Rhrs &gt; 12 (Calculated SFOC: 107.73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</si>
  <si>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004B</t>
  </si>
  <si>
    <t>Exhaust temp deviation &gt; ±50 from avg at Unit 3; Exhaust temp deviation &gt; ±50 from avg at Unit 8; SFOC out of 170-240 g/kwh at sea with ME Rhrs &gt; 12 (Calculated SFOC: 107.73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</si>
  <si>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Exhaust temp deviation &gt; ±50 from avg at Unit 2; Exhaust temp deviation &gt; ±50 from avg at Unit 3; Exhaust temp deviation &gt; ±50 from avg at Unit 8; SFOC out of 170-240 g/kwh at sea with ME Rhrs &gt; 12 (Calculated SFOC: 111.29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</si>
  <si>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Exhaust temp deviation &gt; ±50 from avg at Unit 2; Exhaust temp deviation &gt; ±50 from avg at Unit 3; Exhaust temp deviation &gt; ±50 from avg at Unit 8; SFOC out of 170-240 g/kwh at sea with ME Rhrs &gt; 12 (Calculated SFOC: 97.80 g/kwh); Validation – 2 Aux Engines operating at sea with ME Load greater than 40% (Ratio: 2.09)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</si>
  <si>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Exhaust temp deviation &gt; ±50 from avg at Unit 2; Exhaust temp deviation &gt; ±50 from avg at Unit 3; Exhaust temp deviation &gt; ±50 from avg at Unit 8; SFOC out of 170-240 g/kwh at sea with ME Rhrs &gt; 12 (Calculated SFOC: 94.51 g/kwh); Validation – 2 Aux Engines operating at sea with ME Load greater than 40% (Ratio: 2.00) and no sub consumers reported.
Kindly confirm that if auxiliary engines are operated for activities including tank cleaning, cargo transfer, ballast operations, or similar tasks, the corresponding estimated fuel consumption (in metric tons) should be entered under the relevant option in the Sub Fuel Consumers section. If a suitable option is not listed, please use the “Others” category within the Daily Report.</t>
  </si>
  <si>
    <t>UARGFS2611</t>
  </si>
  <si>
    <t>SFOC out of 150-200 g/kwh at sea with ME Rhrs &gt; 12 (Calculated SFOC: 208.65 g/kwh)</t>
  </si>
  <si>
    <t>SFOC out of 150-200 g/kwh at sea with ME Rhrs &gt; 12 (Calculated SFOC: 221.50 g/kwh)</t>
  </si>
  <si>
    <t>uargfs2611</t>
  </si>
  <si>
    <t>SFOC out of 150-200 g/kwh at sea with ME Rhrs &gt; 12 (Calculated SFOC: 213.41 g/kwh)</t>
  </si>
  <si>
    <t>Rule 7 (Reporting Gap): There is a 48.00 hour gap between the end date and time of previous report and start date and time in current report (Prev End: 2026-06-25 00:00:00, Curr Start: 2026-06-23 00:00:00) | Report Info: 23-Jun-26 00:00</t>
  </si>
  <si>
    <t>Rule 7 (Reporting Gap): There is a 24.00 hour gap between the end date and time of previous report and start date and time in current report (Prev End: 2026-06-24 00:00:00, Curr Start: 2026-06-25 00:00:00) | Report Info: 25-Jun-26 00:00</t>
  </si>
  <si>
    <t>02:12</t>
  </si>
  <si>
    <t>03:48</t>
  </si>
  <si>
    <t>UBCGFS2609</t>
  </si>
  <si>
    <t>Rule 7 (Reporting Gap): There is a 14.20 hour gap between the end date and time of previous report and start date and time in current report (Prev End: 2026-06-23 12:00:00, Curr Start: 2026-06-24 02:12:00) | Report Info: 24-Jun-26 02:12</t>
  </si>
  <si>
    <t>09:36</t>
  </si>
  <si>
    <t>Week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</si>
</sst>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5" fontId="0" fillId="0" borderId="0" xfId="0" applyNumberFormat="1"/>
    <xf numFmtId="20" fontId="0" fillId="0" borderId="0" xfId="0" applyNumberFormat="1"/>
    <xf numFmtId="0" fontId="1" fillId="0" borderId="0" xfId="0" applyFont="1"/>
    <xf numFmtId="0" fontId="1" fillId="0" borderId="0" xfId="0" applyFont="1" applyAlignment="1">
      <alignment horizontal="center" vertical="center" wrapText="1"/>
    </xf>
    <xf numFmtId="0" fontId="1" fillId="0" borderId="0" xfId="0" applyFont="1" applyAlignment="1">
      <alignment horizontal="right" vertical="center" wrapText="1"/>
    </xf>
    <xf numFmtId="0" fontId="0" fillId="0" borderId="0" xfId="0" applyAlignment="1">
      <alignment vertical="center" wrapText="1"/>
    </xf>
    <xf numFmtId="0" fontId="0" fillId="0" borderId="0" xfId="0" applyAlignment="1">
      <alignment horizontal="righ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1D11B-B13E-4C5B-A561-4FC765A358FE}">
  <dimension ref="A1:AM38"/>
  <sheetViews>
    <sheetView workbookViewId="0">
      <selection activeCell="C17" sqref="C17"/>
    </sheetView>
  </sheetViews>
  <sheetFormatPr defaultRowHeight="14.5" x14ac:dyDescent="0.35"/>
  <cols>
    <col min="1" max="1" width="18.1796875" customWidth="1"/>
  </cols>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37</v>
      </c>
      <c r="AK1" t="s">
        <v>35</v>
      </c>
      <c r="AL1" t="s">
        <v>36</v>
      </c>
      <c r="AM1" t="s">
        <v>38</v>
      </c>
    </row>
    <row r="2" spans="1:39" x14ac:dyDescent="0.35">
      <c r="A2" t="s">
        <v>100</v>
      </c>
      <c r="B2">
        <v>9614103</v>
      </c>
      <c r="C2" t="s">
        <v>40</v>
      </c>
      <c r="D2" t="s">
        <v>213</v>
      </c>
      <c r="E2" t="s">
        <v>102</v>
      </c>
      <c r="F2" t="s">
        <v>214</v>
      </c>
      <c r="G2" t="s">
        <v>102</v>
      </c>
      <c r="H2">
        <v>2</v>
      </c>
      <c r="I2" t="s">
        <v>45</v>
      </c>
      <c r="J2">
        <v>279</v>
      </c>
      <c r="K2">
        <v>0.5</v>
      </c>
      <c r="L2">
        <v>279</v>
      </c>
      <c r="M2">
        <v>4659</v>
      </c>
      <c r="N2">
        <v>103</v>
      </c>
      <c r="O2">
        <v>49.1</v>
      </c>
      <c r="P2">
        <v>24.5</v>
      </c>
      <c r="Q2">
        <v>23.5</v>
      </c>
      <c r="R2">
        <v>21.56</v>
      </c>
      <c r="S2">
        <v>360</v>
      </c>
      <c r="T2">
        <v>359.5</v>
      </c>
      <c r="U2">
        <v>360</v>
      </c>
      <c r="V2">
        <v>359.4</v>
      </c>
      <c r="W2">
        <v>360</v>
      </c>
      <c r="X2">
        <v>359</v>
      </c>
      <c r="AI2">
        <v>188.881734277742</v>
      </c>
      <c r="AJ2">
        <v>116</v>
      </c>
      <c r="AK2">
        <v>0.91462212702209023</v>
      </c>
      <c r="AL2">
        <v>24.5</v>
      </c>
      <c r="AM2" t="s">
        <v>144</v>
      </c>
    </row>
    <row r="3" spans="1:39" x14ac:dyDescent="0.35">
      <c r="A3" t="s">
        <v>100</v>
      </c>
      <c r="B3">
        <v>9614103</v>
      </c>
      <c r="C3" t="s">
        <v>40</v>
      </c>
      <c r="D3" t="s">
        <v>214</v>
      </c>
      <c r="E3" t="s">
        <v>102</v>
      </c>
      <c r="F3" t="s">
        <v>215</v>
      </c>
      <c r="G3" t="s">
        <v>102</v>
      </c>
      <c r="H3">
        <v>2</v>
      </c>
      <c r="I3" t="s">
        <v>45</v>
      </c>
      <c r="J3">
        <v>270</v>
      </c>
      <c r="K3">
        <v>0</v>
      </c>
      <c r="L3">
        <v>270</v>
      </c>
      <c r="M3">
        <v>4310</v>
      </c>
      <c r="N3">
        <v>97.3</v>
      </c>
      <c r="O3">
        <v>45.5</v>
      </c>
      <c r="P3">
        <v>24</v>
      </c>
      <c r="Q3">
        <v>24</v>
      </c>
      <c r="R3">
        <v>19.68</v>
      </c>
      <c r="S3">
        <v>340</v>
      </c>
      <c r="T3">
        <v>339</v>
      </c>
      <c r="U3">
        <v>342</v>
      </c>
      <c r="V3">
        <v>343</v>
      </c>
      <c r="W3">
        <v>344</v>
      </c>
      <c r="X3">
        <v>343</v>
      </c>
      <c r="AI3">
        <v>190.25522041763341</v>
      </c>
      <c r="AJ3">
        <v>106</v>
      </c>
      <c r="AK3">
        <v>0.92227378190255216</v>
      </c>
      <c r="AL3">
        <v>24</v>
      </c>
      <c r="AM3" t="s">
        <v>109</v>
      </c>
    </row>
    <row r="4" spans="1:39" x14ac:dyDescent="0.35">
      <c r="A4" t="s">
        <v>39</v>
      </c>
      <c r="B4">
        <v>9583627</v>
      </c>
      <c r="C4" t="s">
        <v>40</v>
      </c>
      <c r="D4" t="s">
        <v>214</v>
      </c>
      <c r="E4" t="s">
        <v>102</v>
      </c>
      <c r="F4" t="s">
        <v>215</v>
      </c>
      <c r="G4" t="s">
        <v>216</v>
      </c>
      <c r="H4" t="s">
        <v>217</v>
      </c>
      <c r="I4" t="s">
        <v>218</v>
      </c>
      <c r="J4">
        <v>277</v>
      </c>
      <c r="K4">
        <v>0</v>
      </c>
      <c r="L4">
        <v>280</v>
      </c>
      <c r="M4">
        <v>4592</v>
      </c>
      <c r="N4">
        <v>98</v>
      </c>
      <c r="O4">
        <v>40</v>
      </c>
      <c r="P4">
        <v>26</v>
      </c>
      <c r="Q4">
        <v>26.4</v>
      </c>
      <c r="R4">
        <v>22.59</v>
      </c>
      <c r="S4">
        <v>339</v>
      </c>
      <c r="T4">
        <v>360</v>
      </c>
      <c r="U4">
        <v>356</v>
      </c>
      <c r="V4">
        <v>348</v>
      </c>
      <c r="W4">
        <v>361</v>
      </c>
      <c r="X4">
        <v>369</v>
      </c>
      <c r="AI4">
        <v>189.2086571964621</v>
      </c>
      <c r="AJ4">
        <v>88</v>
      </c>
      <c r="AK4">
        <v>0.66336102921468776</v>
      </c>
      <c r="AL4">
        <v>7.4</v>
      </c>
      <c r="AM4" t="s">
        <v>219</v>
      </c>
    </row>
    <row r="5" spans="1:39" x14ac:dyDescent="0.35">
      <c r="A5" t="s">
        <v>39</v>
      </c>
      <c r="B5">
        <v>9583627</v>
      </c>
      <c r="C5" t="s">
        <v>40</v>
      </c>
      <c r="D5" t="s">
        <v>220</v>
      </c>
      <c r="E5" t="s">
        <v>221</v>
      </c>
      <c r="F5" t="s">
        <v>220</v>
      </c>
      <c r="G5" t="s">
        <v>102</v>
      </c>
      <c r="H5" t="s">
        <v>217</v>
      </c>
      <c r="I5" t="s">
        <v>218</v>
      </c>
      <c r="J5">
        <v>16</v>
      </c>
      <c r="K5">
        <v>0</v>
      </c>
      <c r="L5">
        <v>16</v>
      </c>
      <c r="M5">
        <v>3671</v>
      </c>
      <c r="N5">
        <v>90</v>
      </c>
      <c r="O5">
        <v>40</v>
      </c>
      <c r="P5">
        <v>3</v>
      </c>
      <c r="Q5">
        <v>3</v>
      </c>
      <c r="R5">
        <v>2.15</v>
      </c>
      <c r="S5">
        <v>338</v>
      </c>
      <c r="T5">
        <v>352</v>
      </c>
      <c r="U5">
        <v>354</v>
      </c>
      <c r="V5">
        <v>351</v>
      </c>
      <c r="W5">
        <v>365</v>
      </c>
      <c r="X5">
        <v>368</v>
      </c>
      <c r="AI5">
        <v>195.22382638699719</v>
      </c>
      <c r="AJ5">
        <v>20</v>
      </c>
      <c r="AK5">
        <v>1.6344320348678829</v>
      </c>
      <c r="AL5">
        <v>3</v>
      </c>
      <c r="AM5" t="s">
        <v>222</v>
      </c>
    </row>
    <row r="6" spans="1:39" x14ac:dyDescent="0.35">
      <c r="A6" t="s">
        <v>57</v>
      </c>
      <c r="B6">
        <v>9504607</v>
      </c>
      <c r="C6" t="s">
        <v>40</v>
      </c>
      <c r="D6" t="s">
        <v>215</v>
      </c>
      <c r="E6" t="s">
        <v>223</v>
      </c>
      <c r="F6" t="s">
        <v>224</v>
      </c>
      <c r="G6" t="s">
        <v>102</v>
      </c>
      <c r="H6">
        <v>34</v>
      </c>
      <c r="I6" t="s">
        <v>42</v>
      </c>
      <c r="J6">
        <v>287</v>
      </c>
      <c r="K6">
        <v>0</v>
      </c>
      <c r="L6">
        <v>287</v>
      </c>
      <c r="M6">
        <v>4554.1899999999996</v>
      </c>
      <c r="N6">
        <v>62.8</v>
      </c>
      <c r="O6">
        <v>21.03</v>
      </c>
      <c r="P6">
        <v>21.5</v>
      </c>
      <c r="Q6">
        <v>22</v>
      </c>
      <c r="R6">
        <v>19.899999999999999</v>
      </c>
      <c r="S6">
        <v>320</v>
      </c>
      <c r="T6">
        <v>282</v>
      </c>
      <c r="U6">
        <v>303</v>
      </c>
      <c r="V6">
        <v>285</v>
      </c>
      <c r="W6">
        <v>290</v>
      </c>
      <c r="X6">
        <v>300</v>
      </c>
      <c r="AI6">
        <v>203.2373254846278</v>
      </c>
      <c r="AJ6">
        <v>135</v>
      </c>
      <c r="AK6">
        <v>1.240871107858406</v>
      </c>
      <c r="AL6">
        <v>0</v>
      </c>
      <c r="AM6" t="s">
        <v>225</v>
      </c>
    </row>
    <row r="7" spans="1:39" x14ac:dyDescent="0.35">
      <c r="A7" t="s">
        <v>65</v>
      </c>
      <c r="B7">
        <v>9436111</v>
      </c>
      <c r="C7" t="s">
        <v>40</v>
      </c>
      <c r="D7" t="s">
        <v>213</v>
      </c>
      <c r="E7" t="s">
        <v>117</v>
      </c>
      <c r="F7" t="s">
        <v>214</v>
      </c>
      <c r="G7" t="s">
        <v>226</v>
      </c>
      <c r="H7">
        <v>32</v>
      </c>
      <c r="I7" t="s">
        <v>45</v>
      </c>
      <c r="J7">
        <v>154</v>
      </c>
      <c r="K7">
        <v>0</v>
      </c>
      <c r="L7">
        <v>155</v>
      </c>
      <c r="M7">
        <v>4100</v>
      </c>
      <c r="N7">
        <v>80</v>
      </c>
      <c r="O7">
        <v>65</v>
      </c>
      <c r="P7">
        <v>18</v>
      </c>
      <c r="Q7">
        <v>16</v>
      </c>
      <c r="R7">
        <v>19.5</v>
      </c>
      <c r="S7">
        <v>323</v>
      </c>
      <c r="T7">
        <v>320</v>
      </c>
      <c r="U7">
        <v>340</v>
      </c>
      <c r="V7">
        <v>345</v>
      </c>
      <c r="W7">
        <v>340</v>
      </c>
      <c r="X7">
        <v>340</v>
      </c>
      <c r="AI7">
        <v>264.22764227642278</v>
      </c>
      <c r="AJ7">
        <v>150</v>
      </c>
      <c r="AK7">
        <v>1.8292682926829269</v>
      </c>
      <c r="AL7">
        <v>18</v>
      </c>
      <c r="AM7" t="s">
        <v>227</v>
      </c>
    </row>
    <row r="8" spans="1:39" x14ac:dyDescent="0.35">
      <c r="A8" t="s">
        <v>65</v>
      </c>
      <c r="B8">
        <v>9436111</v>
      </c>
      <c r="C8" t="s">
        <v>40</v>
      </c>
      <c r="D8" t="s">
        <v>215</v>
      </c>
      <c r="E8" t="s">
        <v>228</v>
      </c>
      <c r="F8" t="s">
        <v>224</v>
      </c>
      <c r="G8" t="s">
        <v>229</v>
      </c>
      <c r="H8">
        <v>32</v>
      </c>
      <c r="I8" t="s">
        <v>45</v>
      </c>
      <c r="J8">
        <v>174</v>
      </c>
      <c r="K8">
        <v>0</v>
      </c>
      <c r="L8">
        <v>175</v>
      </c>
      <c r="M8">
        <v>3900</v>
      </c>
      <c r="N8">
        <v>50</v>
      </c>
      <c r="O8">
        <v>45</v>
      </c>
      <c r="P8">
        <v>16</v>
      </c>
      <c r="Q8">
        <v>16</v>
      </c>
      <c r="R8">
        <v>11.6</v>
      </c>
      <c r="S8">
        <v>310</v>
      </c>
      <c r="T8">
        <v>311</v>
      </c>
      <c r="U8">
        <v>317</v>
      </c>
      <c r="V8">
        <v>315</v>
      </c>
      <c r="W8">
        <v>318</v>
      </c>
      <c r="X8">
        <v>316</v>
      </c>
      <c r="AI8">
        <v>185.89743589743591</v>
      </c>
      <c r="AJ8">
        <v>90</v>
      </c>
      <c r="AK8">
        <v>1.2980769230769229</v>
      </c>
      <c r="AL8">
        <v>16</v>
      </c>
      <c r="AM8" t="s">
        <v>109</v>
      </c>
    </row>
    <row r="9" spans="1:39" x14ac:dyDescent="0.35">
      <c r="A9" t="s">
        <v>65</v>
      </c>
      <c r="B9">
        <v>9436111</v>
      </c>
      <c r="C9" t="s">
        <v>40</v>
      </c>
      <c r="D9" t="s">
        <v>230</v>
      </c>
      <c r="E9" t="s">
        <v>231</v>
      </c>
      <c r="F9" t="s">
        <v>188</v>
      </c>
      <c r="G9" t="s">
        <v>232</v>
      </c>
      <c r="H9">
        <v>32</v>
      </c>
      <c r="I9" t="s">
        <v>45</v>
      </c>
      <c r="J9">
        <v>155</v>
      </c>
      <c r="K9">
        <v>0</v>
      </c>
      <c r="L9">
        <v>160</v>
      </c>
      <c r="M9">
        <v>3109</v>
      </c>
      <c r="N9">
        <v>50</v>
      </c>
      <c r="O9">
        <v>42</v>
      </c>
      <c r="P9">
        <v>15.5</v>
      </c>
      <c r="Q9">
        <v>15.53</v>
      </c>
      <c r="R9">
        <v>13.4</v>
      </c>
      <c r="S9">
        <v>315</v>
      </c>
      <c r="T9">
        <v>317</v>
      </c>
      <c r="U9">
        <v>319</v>
      </c>
      <c r="V9">
        <v>317</v>
      </c>
      <c r="W9">
        <v>318</v>
      </c>
      <c r="X9">
        <v>318</v>
      </c>
      <c r="AI9">
        <v>278.06887392481758</v>
      </c>
      <c r="AJ9">
        <v>110</v>
      </c>
      <c r="AK9">
        <v>2.0543894416833539</v>
      </c>
      <c r="AL9">
        <v>15.5</v>
      </c>
      <c r="AM9" t="s">
        <v>233</v>
      </c>
    </row>
    <row r="10" spans="1:39" x14ac:dyDescent="0.35">
      <c r="A10" t="s">
        <v>74</v>
      </c>
      <c r="B10">
        <v>9464314</v>
      </c>
      <c r="C10" t="s">
        <v>40</v>
      </c>
      <c r="D10" t="s">
        <v>213</v>
      </c>
      <c r="E10" t="s">
        <v>102</v>
      </c>
      <c r="F10" t="s">
        <v>214</v>
      </c>
      <c r="G10" t="s">
        <v>102</v>
      </c>
      <c r="H10" t="s">
        <v>186</v>
      </c>
      <c r="I10" t="s">
        <v>45</v>
      </c>
      <c r="J10">
        <v>391</v>
      </c>
      <c r="K10">
        <v>0</v>
      </c>
      <c r="L10">
        <v>373</v>
      </c>
      <c r="M10">
        <v>16742</v>
      </c>
      <c r="N10">
        <v>77.400000000000006</v>
      </c>
      <c r="O10">
        <v>46.3</v>
      </c>
      <c r="P10">
        <v>24</v>
      </c>
      <c r="Q10">
        <v>24</v>
      </c>
      <c r="R10">
        <v>74</v>
      </c>
      <c r="S10">
        <v>367</v>
      </c>
      <c r="T10">
        <v>399</v>
      </c>
      <c r="U10">
        <v>393</v>
      </c>
      <c r="V10">
        <v>374</v>
      </c>
      <c r="W10">
        <v>394</v>
      </c>
      <c r="X10">
        <v>384</v>
      </c>
      <c r="Y10">
        <v>393</v>
      </c>
      <c r="Z10">
        <v>381</v>
      </c>
      <c r="AI10">
        <v>184.16756261697131</v>
      </c>
      <c r="AJ10">
        <v>470</v>
      </c>
      <c r="AK10">
        <v>1.052741607932147</v>
      </c>
      <c r="AL10">
        <v>0</v>
      </c>
      <c r="AM10" t="s">
        <v>109</v>
      </c>
    </row>
    <row r="11" spans="1:39" x14ac:dyDescent="0.35">
      <c r="A11" t="s">
        <v>74</v>
      </c>
      <c r="B11">
        <v>9464314</v>
      </c>
      <c r="C11" t="s">
        <v>40</v>
      </c>
      <c r="D11" t="s">
        <v>234</v>
      </c>
      <c r="E11" t="s">
        <v>120</v>
      </c>
      <c r="F11" t="s">
        <v>230</v>
      </c>
      <c r="G11" t="s">
        <v>102</v>
      </c>
      <c r="H11" t="s">
        <v>186</v>
      </c>
      <c r="I11" t="s">
        <v>45</v>
      </c>
      <c r="J11">
        <v>339</v>
      </c>
      <c r="K11">
        <v>0</v>
      </c>
      <c r="L11">
        <v>323</v>
      </c>
      <c r="M11">
        <v>16995</v>
      </c>
      <c r="N11">
        <v>75.5</v>
      </c>
      <c r="O11">
        <v>47</v>
      </c>
      <c r="P11">
        <v>20</v>
      </c>
      <c r="Q11">
        <v>20</v>
      </c>
      <c r="R11">
        <v>62</v>
      </c>
      <c r="S11">
        <v>358</v>
      </c>
      <c r="T11">
        <v>409</v>
      </c>
      <c r="U11">
        <v>390</v>
      </c>
      <c r="V11">
        <v>374</v>
      </c>
      <c r="W11">
        <v>404</v>
      </c>
      <c r="X11">
        <v>384</v>
      </c>
      <c r="Y11">
        <v>391</v>
      </c>
      <c r="Z11">
        <v>381</v>
      </c>
      <c r="AI11">
        <v>182.4065901735805</v>
      </c>
      <c r="AJ11">
        <v>400</v>
      </c>
      <c r="AK11">
        <v>1.0591350397175641</v>
      </c>
      <c r="AL11">
        <v>0</v>
      </c>
      <c r="AM11" t="s">
        <v>235</v>
      </c>
    </row>
    <row r="12" spans="1:39" x14ac:dyDescent="0.35">
      <c r="A12" t="s">
        <v>78</v>
      </c>
      <c r="B12">
        <v>9395343</v>
      </c>
      <c r="C12" t="s">
        <v>40</v>
      </c>
      <c r="D12" t="s">
        <v>213</v>
      </c>
      <c r="E12" t="s">
        <v>236</v>
      </c>
      <c r="F12" t="s">
        <v>214</v>
      </c>
      <c r="G12" t="s">
        <v>102</v>
      </c>
      <c r="H12" t="s">
        <v>79</v>
      </c>
      <c r="I12" t="s">
        <v>218</v>
      </c>
      <c r="J12">
        <v>200.7</v>
      </c>
      <c r="K12">
        <v>0</v>
      </c>
      <c r="L12">
        <v>192.1</v>
      </c>
      <c r="M12">
        <v>500</v>
      </c>
      <c r="N12">
        <v>500</v>
      </c>
      <c r="O12">
        <v>49</v>
      </c>
      <c r="P12">
        <v>20</v>
      </c>
      <c r="Q12">
        <v>20.399999999999999</v>
      </c>
      <c r="R12">
        <v>16</v>
      </c>
      <c r="S12">
        <v>340</v>
      </c>
      <c r="T12">
        <v>335</v>
      </c>
      <c r="U12">
        <v>340</v>
      </c>
      <c r="V12">
        <v>330</v>
      </c>
      <c r="W12">
        <v>330</v>
      </c>
      <c r="X12">
        <v>330</v>
      </c>
      <c r="Y12">
        <v>330</v>
      </c>
      <c r="Z12">
        <v>330</v>
      </c>
      <c r="AI12">
        <v>1600</v>
      </c>
      <c r="AJ12">
        <v>0</v>
      </c>
      <c r="AK12">
        <v>0</v>
      </c>
      <c r="AL12">
        <v>0</v>
      </c>
      <c r="AM12" t="s">
        <v>237</v>
      </c>
    </row>
    <row r="13" spans="1:39" x14ac:dyDescent="0.35">
      <c r="A13" t="s">
        <v>78</v>
      </c>
      <c r="B13">
        <v>9395343</v>
      </c>
      <c r="C13" t="s">
        <v>40</v>
      </c>
      <c r="D13" t="s">
        <v>214</v>
      </c>
      <c r="E13" t="s">
        <v>102</v>
      </c>
      <c r="F13" t="s">
        <v>215</v>
      </c>
      <c r="G13" t="s">
        <v>102</v>
      </c>
      <c r="H13" t="s">
        <v>79</v>
      </c>
      <c r="I13" t="s">
        <v>218</v>
      </c>
      <c r="J13">
        <v>234</v>
      </c>
      <c r="K13">
        <v>0</v>
      </c>
      <c r="L13">
        <v>231</v>
      </c>
      <c r="M13">
        <v>5000</v>
      </c>
      <c r="N13">
        <v>500</v>
      </c>
      <c r="O13">
        <v>45</v>
      </c>
      <c r="P13">
        <v>24</v>
      </c>
      <c r="Q13">
        <v>24</v>
      </c>
      <c r="R13">
        <v>18.5</v>
      </c>
      <c r="S13">
        <v>340</v>
      </c>
      <c r="T13">
        <v>345</v>
      </c>
      <c r="U13">
        <v>345</v>
      </c>
      <c r="V13">
        <v>345</v>
      </c>
      <c r="W13">
        <v>345</v>
      </c>
      <c r="X13">
        <v>340</v>
      </c>
      <c r="Y13">
        <v>340</v>
      </c>
      <c r="Z13">
        <v>340</v>
      </c>
      <c r="AI13">
        <v>154.16666666666671</v>
      </c>
      <c r="AJ13">
        <v>0</v>
      </c>
      <c r="AK13">
        <v>0</v>
      </c>
      <c r="AL13">
        <v>0</v>
      </c>
      <c r="AM13" t="s">
        <v>238</v>
      </c>
    </row>
    <row r="14" spans="1:39" x14ac:dyDescent="0.35">
      <c r="A14" t="s">
        <v>78</v>
      </c>
      <c r="B14">
        <v>9395343</v>
      </c>
      <c r="C14" t="s">
        <v>40</v>
      </c>
      <c r="D14" t="s">
        <v>215</v>
      </c>
      <c r="E14" t="s">
        <v>102</v>
      </c>
      <c r="F14" t="s">
        <v>224</v>
      </c>
      <c r="G14" t="s">
        <v>102</v>
      </c>
      <c r="H14" t="s">
        <v>239</v>
      </c>
      <c r="I14" t="s">
        <v>218</v>
      </c>
      <c r="J14">
        <v>273</v>
      </c>
      <c r="K14">
        <v>0</v>
      </c>
      <c r="L14">
        <v>264</v>
      </c>
      <c r="M14">
        <v>5000</v>
      </c>
      <c r="N14">
        <v>500</v>
      </c>
      <c r="O14">
        <v>55</v>
      </c>
      <c r="P14">
        <v>24</v>
      </c>
      <c r="Q14">
        <v>24</v>
      </c>
      <c r="R14">
        <v>22.8</v>
      </c>
      <c r="S14">
        <v>340</v>
      </c>
      <c r="T14">
        <v>340</v>
      </c>
      <c r="U14">
        <v>340</v>
      </c>
      <c r="V14">
        <v>340</v>
      </c>
      <c r="W14">
        <v>340</v>
      </c>
      <c r="X14">
        <v>340</v>
      </c>
      <c r="Y14">
        <v>340</v>
      </c>
      <c r="Z14">
        <v>340</v>
      </c>
      <c r="AI14">
        <v>190</v>
      </c>
      <c r="AJ14">
        <v>0</v>
      </c>
      <c r="AK14">
        <v>0</v>
      </c>
      <c r="AL14">
        <v>0</v>
      </c>
      <c r="AM14" t="s">
        <v>238</v>
      </c>
    </row>
    <row r="15" spans="1:39" x14ac:dyDescent="0.35">
      <c r="A15" t="s">
        <v>78</v>
      </c>
      <c r="B15">
        <v>9395343</v>
      </c>
      <c r="C15" t="s">
        <v>40</v>
      </c>
      <c r="D15" t="s">
        <v>234</v>
      </c>
      <c r="E15" t="s">
        <v>240</v>
      </c>
      <c r="F15" t="s">
        <v>230</v>
      </c>
      <c r="G15" t="s">
        <v>102</v>
      </c>
      <c r="H15" t="s">
        <v>79</v>
      </c>
      <c r="I15" t="s">
        <v>218</v>
      </c>
      <c r="J15">
        <v>235</v>
      </c>
      <c r="K15">
        <v>0</v>
      </c>
      <c r="L15">
        <v>231</v>
      </c>
      <c r="M15">
        <v>5000</v>
      </c>
      <c r="N15">
        <v>500</v>
      </c>
      <c r="O15">
        <v>49</v>
      </c>
      <c r="P15">
        <v>16</v>
      </c>
      <c r="Q15">
        <v>16.899999999999999</v>
      </c>
      <c r="R15">
        <v>25.4</v>
      </c>
      <c r="S15">
        <v>345</v>
      </c>
      <c r="T15">
        <v>340</v>
      </c>
      <c r="U15">
        <v>340</v>
      </c>
      <c r="V15">
        <v>345</v>
      </c>
      <c r="W15">
        <v>340</v>
      </c>
      <c r="X15">
        <v>345</v>
      </c>
      <c r="Y15">
        <v>340</v>
      </c>
      <c r="Z15">
        <v>345</v>
      </c>
      <c r="AI15">
        <v>317.5</v>
      </c>
      <c r="AJ15">
        <v>0</v>
      </c>
      <c r="AK15">
        <v>0</v>
      </c>
      <c r="AL15">
        <v>0</v>
      </c>
      <c r="AM15" t="s">
        <v>241</v>
      </c>
    </row>
    <row r="16" spans="1:39" x14ac:dyDescent="0.35">
      <c r="A16" t="s">
        <v>84</v>
      </c>
      <c r="B16">
        <v>9485904</v>
      </c>
      <c r="C16" t="s">
        <v>40</v>
      </c>
      <c r="D16" t="s">
        <v>213</v>
      </c>
      <c r="E16" t="s">
        <v>242</v>
      </c>
      <c r="F16" t="s">
        <v>214</v>
      </c>
      <c r="G16" t="s">
        <v>102</v>
      </c>
      <c r="H16" t="s">
        <v>85</v>
      </c>
      <c r="I16" t="s">
        <v>42</v>
      </c>
      <c r="J16">
        <v>159</v>
      </c>
      <c r="K16">
        <v>0</v>
      </c>
      <c r="L16">
        <v>159</v>
      </c>
      <c r="M16">
        <v>3250</v>
      </c>
      <c r="N16">
        <v>97</v>
      </c>
      <c r="O16">
        <v>55</v>
      </c>
      <c r="P16">
        <v>13.3</v>
      </c>
      <c r="Q16">
        <v>13.3</v>
      </c>
      <c r="R16">
        <v>9.1</v>
      </c>
      <c r="S16">
        <v>338</v>
      </c>
      <c r="T16">
        <v>334</v>
      </c>
      <c r="U16">
        <v>314</v>
      </c>
      <c r="V16">
        <v>321</v>
      </c>
      <c r="W16">
        <v>332</v>
      </c>
      <c r="AI16">
        <v>210.5263157894737</v>
      </c>
      <c r="AJ16">
        <v>60</v>
      </c>
      <c r="AK16">
        <v>1.249277038750723</v>
      </c>
      <c r="AL16">
        <v>13.3</v>
      </c>
      <c r="AM16" t="s">
        <v>243</v>
      </c>
    </row>
    <row r="17" spans="1:39" x14ac:dyDescent="0.35">
      <c r="A17" t="s">
        <v>89</v>
      </c>
      <c r="B17">
        <v>9442392</v>
      </c>
      <c r="C17" t="s">
        <v>40</v>
      </c>
      <c r="D17" t="s">
        <v>213</v>
      </c>
      <c r="E17" t="s">
        <v>102</v>
      </c>
      <c r="F17" t="s">
        <v>214</v>
      </c>
      <c r="G17" t="s">
        <v>102</v>
      </c>
      <c r="H17" t="s">
        <v>90</v>
      </c>
      <c r="I17" t="s">
        <v>244</v>
      </c>
      <c r="J17">
        <v>273</v>
      </c>
      <c r="K17">
        <v>0</v>
      </c>
      <c r="L17">
        <v>276</v>
      </c>
      <c r="M17">
        <v>4861</v>
      </c>
      <c r="N17">
        <v>72.540000000000006</v>
      </c>
      <c r="O17">
        <v>45.3</v>
      </c>
      <c r="P17">
        <v>24</v>
      </c>
      <c r="Q17">
        <v>24</v>
      </c>
      <c r="R17">
        <v>21</v>
      </c>
      <c r="S17">
        <v>340</v>
      </c>
      <c r="T17">
        <v>346</v>
      </c>
      <c r="U17">
        <v>334</v>
      </c>
      <c r="V17">
        <v>319</v>
      </c>
      <c r="W17">
        <v>346</v>
      </c>
      <c r="X17">
        <v>311</v>
      </c>
      <c r="AI17">
        <v>180.00411437975731</v>
      </c>
      <c r="AJ17">
        <v>133</v>
      </c>
      <c r="AK17">
        <v>1.0260234519646161</v>
      </c>
      <c r="AL17">
        <v>24</v>
      </c>
      <c r="AM17" t="s">
        <v>109</v>
      </c>
    </row>
    <row r="18" spans="1:39" x14ac:dyDescent="0.35">
      <c r="A18" t="s">
        <v>89</v>
      </c>
      <c r="B18">
        <v>9442392</v>
      </c>
      <c r="C18" t="s">
        <v>40</v>
      </c>
      <c r="D18" t="s">
        <v>214</v>
      </c>
      <c r="E18" t="s">
        <v>102</v>
      </c>
      <c r="F18" t="s">
        <v>215</v>
      </c>
      <c r="G18" t="s">
        <v>102</v>
      </c>
      <c r="H18" t="s">
        <v>90</v>
      </c>
      <c r="I18" t="s">
        <v>245</v>
      </c>
      <c r="J18">
        <v>240</v>
      </c>
      <c r="K18">
        <v>1</v>
      </c>
      <c r="L18">
        <v>265</v>
      </c>
      <c r="M18">
        <v>4874</v>
      </c>
      <c r="N18">
        <v>72.5</v>
      </c>
      <c r="O18">
        <v>45.4</v>
      </c>
      <c r="P18">
        <v>23</v>
      </c>
      <c r="Q18">
        <v>23</v>
      </c>
      <c r="R18">
        <v>20.18</v>
      </c>
      <c r="S18">
        <v>342</v>
      </c>
      <c r="T18">
        <v>349</v>
      </c>
      <c r="U18">
        <v>332</v>
      </c>
      <c r="V18">
        <v>314</v>
      </c>
      <c r="W18">
        <v>345</v>
      </c>
      <c r="X18">
        <v>309</v>
      </c>
      <c r="AI18">
        <v>180.01462953381741</v>
      </c>
      <c r="AJ18">
        <v>128</v>
      </c>
      <c r="AK18">
        <v>1.027635546198997</v>
      </c>
      <c r="AL18">
        <v>23</v>
      </c>
      <c r="AM18" t="s">
        <v>109</v>
      </c>
    </row>
    <row r="19" spans="1:39" x14ac:dyDescent="0.35">
      <c r="A19" t="s">
        <v>89</v>
      </c>
      <c r="B19">
        <v>9442392</v>
      </c>
      <c r="C19" t="s">
        <v>40</v>
      </c>
      <c r="D19" t="s">
        <v>215</v>
      </c>
      <c r="E19" t="s">
        <v>102</v>
      </c>
      <c r="F19" t="s">
        <v>224</v>
      </c>
      <c r="G19" t="s">
        <v>102</v>
      </c>
      <c r="H19" t="s">
        <v>90</v>
      </c>
      <c r="I19" t="s">
        <v>244</v>
      </c>
      <c r="J19">
        <v>257</v>
      </c>
      <c r="K19">
        <v>0</v>
      </c>
      <c r="L19">
        <v>276</v>
      </c>
      <c r="M19">
        <v>4676</v>
      </c>
      <c r="N19">
        <v>70.7</v>
      </c>
      <c r="O19">
        <v>43.5</v>
      </c>
      <c r="P19">
        <v>24</v>
      </c>
      <c r="Q19">
        <v>24</v>
      </c>
      <c r="R19">
        <v>20.2</v>
      </c>
      <c r="S19">
        <v>336</v>
      </c>
      <c r="T19">
        <v>345</v>
      </c>
      <c r="U19">
        <v>329</v>
      </c>
      <c r="V19">
        <v>308</v>
      </c>
      <c r="W19">
        <v>338</v>
      </c>
      <c r="X19">
        <v>303</v>
      </c>
      <c r="AI19">
        <v>179.99714856002279</v>
      </c>
      <c r="AJ19">
        <v>130</v>
      </c>
      <c r="AK19">
        <v>1.042557741659538</v>
      </c>
      <c r="AL19">
        <v>3</v>
      </c>
      <c r="AM19" t="s">
        <v>246</v>
      </c>
    </row>
    <row r="20" spans="1:39" x14ac:dyDescent="0.35">
      <c r="A20" t="s">
        <v>89</v>
      </c>
      <c r="B20">
        <v>9442392</v>
      </c>
      <c r="C20" t="s">
        <v>40</v>
      </c>
      <c r="D20" t="s">
        <v>224</v>
      </c>
      <c r="E20" t="s">
        <v>102</v>
      </c>
      <c r="F20" t="s">
        <v>220</v>
      </c>
      <c r="G20" t="s">
        <v>102</v>
      </c>
      <c r="H20" t="s">
        <v>192</v>
      </c>
      <c r="I20" t="s">
        <v>218</v>
      </c>
      <c r="J20">
        <v>245</v>
      </c>
      <c r="K20">
        <v>1</v>
      </c>
      <c r="L20">
        <v>264</v>
      </c>
      <c r="M20">
        <v>4855</v>
      </c>
      <c r="N20">
        <v>72.5</v>
      </c>
      <c r="O20">
        <v>45.2</v>
      </c>
      <c r="P20">
        <v>23</v>
      </c>
      <c r="Q20">
        <v>23</v>
      </c>
      <c r="R20">
        <v>20.100000000000001</v>
      </c>
      <c r="S20">
        <v>344</v>
      </c>
      <c r="T20">
        <v>345</v>
      </c>
      <c r="U20">
        <v>332</v>
      </c>
      <c r="V20">
        <v>316</v>
      </c>
      <c r="W20">
        <v>349</v>
      </c>
      <c r="X20">
        <v>313</v>
      </c>
      <c r="AI20">
        <v>180.0026866072628</v>
      </c>
      <c r="AJ20">
        <v>125</v>
      </c>
      <c r="AK20">
        <v>1.0074777235481129</v>
      </c>
      <c r="AL20">
        <v>23</v>
      </c>
      <c r="AM20" t="s">
        <v>109</v>
      </c>
    </row>
    <row r="21" spans="1:39" x14ac:dyDescent="0.35">
      <c r="A21" t="s">
        <v>89</v>
      </c>
      <c r="B21">
        <v>9442392</v>
      </c>
      <c r="C21" t="s">
        <v>40</v>
      </c>
      <c r="D21" t="s">
        <v>220</v>
      </c>
      <c r="E21" t="s">
        <v>102</v>
      </c>
      <c r="F21" t="s">
        <v>234</v>
      </c>
      <c r="G21" t="s">
        <v>102</v>
      </c>
      <c r="H21" t="s">
        <v>90</v>
      </c>
      <c r="I21" t="s">
        <v>247</v>
      </c>
      <c r="J21">
        <v>153</v>
      </c>
      <c r="K21">
        <v>0</v>
      </c>
      <c r="L21">
        <v>276</v>
      </c>
      <c r="M21">
        <v>4958</v>
      </c>
      <c r="N21">
        <v>72.5</v>
      </c>
      <c r="O21">
        <v>46.2</v>
      </c>
      <c r="P21">
        <v>24</v>
      </c>
      <c r="Q21">
        <v>24</v>
      </c>
      <c r="R21">
        <v>21.42</v>
      </c>
      <c r="S21">
        <v>350</v>
      </c>
      <c r="T21">
        <v>353</v>
      </c>
      <c r="U21">
        <v>331</v>
      </c>
      <c r="V21">
        <v>325</v>
      </c>
      <c r="W21">
        <v>354</v>
      </c>
      <c r="X21">
        <v>315</v>
      </c>
      <c r="AI21">
        <v>180.0121016538927</v>
      </c>
      <c r="AJ21">
        <v>135</v>
      </c>
      <c r="AK21">
        <v>1.0210770471964501</v>
      </c>
      <c r="AL21">
        <v>11</v>
      </c>
      <c r="AM21" t="s">
        <v>109</v>
      </c>
    </row>
    <row r="22" spans="1:39" x14ac:dyDescent="0.35">
      <c r="A22" t="s">
        <v>89</v>
      </c>
      <c r="B22">
        <v>9442392</v>
      </c>
      <c r="C22" t="s">
        <v>40</v>
      </c>
      <c r="D22" t="s">
        <v>234</v>
      </c>
      <c r="E22" t="s">
        <v>102</v>
      </c>
      <c r="F22" t="s">
        <v>230</v>
      </c>
      <c r="G22" t="s">
        <v>102</v>
      </c>
      <c r="H22" t="s">
        <v>192</v>
      </c>
      <c r="I22" t="s">
        <v>218</v>
      </c>
      <c r="J22">
        <v>236</v>
      </c>
      <c r="K22">
        <v>0</v>
      </c>
      <c r="L22">
        <v>270</v>
      </c>
      <c r="M22">
        <v>4861</v>
      </c>
      <c r="N22">
        <v>71.5</v>
      </c>
      <c r="O22">
        <v>45.3</v>
      </c>
      <c r="P22">
        <v>24</v>
      </c>
      <c r="Q22">
        <v>24</v>
      </c>
      <c r="R22">
        <v>21</v>
      </c>
      <c r="S22">
        <v>345</v>
      </c>
      <c r="T22">
        <v>350</v>
      </c>
      <c r="U22">
        <v>331</v>
      </c>
      <c r="V22">
        <v>321</v>
      </c>
      <c r="W22">
        <v>353</v>
      </c>
      <c r="X22">
        <v>318</v>
      </c>
      <c r="AI22">
        <v>180.00411437975731</v>
      </c>
      <c r="AJ22">
        <v>130</v>
      </c>
      <c r="AK22">
        <v>1.0028800658300761</v>
      </c>
      <c r="AL22">
        <v>24</v>
      </c>
      <c r="AM22" t="s">
        <v>109</v>
      </c>
    </row>
    <row r="23" spans="1:39" x14ac:dyDescent="0.35">
      <c r="A23" t="s">
        <v>89</v>
      </c>
      <c r="B23">
        <v>9442392</v>
      </c>
      <c r="C23" t="s">
        <v>40</v>
      </c>
      <c r="D23" t="s">
        <v>230</v>
      </c>
      <c r="E23" t="s">
        <v>102</v>
      </c>
      <c r="F23" t="s">
        <v>188</v>
      </c>
      <c r="G23" t="s">
        <v>102</v>
      </c>
      <c r="H23" t="s">
        <v>192</v>
      </c>
      <c r="I23" t="s">
        <v>218</v>
      </c>
      <c r="J23">
        <v>258</v>
      </c>
      <c r="K23">
        <v>0</v>
      </c>
      <c r="L23">
        <v>276</v>
      </c>
      <c r="M23">
        <v>4826</v>
      </c>
      <c r="N23">
        <v>71.739999999999995</v>
      </c>
      <c r="O23">
        <v>44.9</v>
      </c>
      <c r="P23">
        <v>24</v>
      </c>
      <c r="Q23">
        <v>24</v>
      </c>
      <c r="R23">
        <v>20.85</v>
      </c>
      <c r="S23">
        <v>352</v>
      </c>
      <c r="T23">
        <v>349</v>
      </c>
      <c r="U23">
        <v>337</v>
      </c>
      <c r="V23">
        <v>319</v>
      </c>
      <c r="W23">
        <v>350</v>
      </c>
      <c r="X23">
        <v>317</v>
      </c>
      <c r="AI23">
        <v>180.0145047658516</v>
      </c>
      <c r="AJ23">
        <v>130</v>
      </c>
      <c r="AK23">
        <v>1.0101533360961461</v>
      </c>
      <c r="AL23">
        <v>24</v>
      </c>
      <c r="AM23" t="s">
        <v>109</v>
      </c>
    </row>
    <row r="24" spans="1:39" x14ac:dyDescent="0.35">
      <c r="A24" t="s">
        <v>248</v>
      </c>
      <c r="B24">
        <v>9595670</v>
      </c>
      <c r="C24" t="s">
        <v>40</v>
      </c>
      <c r="D24" t="s">
        <v>213</v>
      </c>
      <c r="E24" t="s">
        <v>102</v>
      </c>
      <c r="F24" t="s">
        <v>214</v>
      </c>
      <c r="G24" t="s">
        <v>102</v>
      </c>
      <c r="H24" t="s">
        <v>249</v>
      </c>
      <c r="I24" t="s">
        <v>250</v>
      </c>
      <c r="J24">
        <v>281.95</v>
      </c>
      <c r="K24">
        <v>0</v>
      </c>
      <c r="L24">
        <v>290</v>
      </c>
      <c r="M24">
        <v>4565</v>
      </c>
      <c r="N24">
        <v>66.45</v>
      </c>
      <c r="O24">
        <v>48</v>
      </c>
      <c r="P24">
        <v>24</v>
      </c>
      <c r="Q24">
        <v>24</v>
      </c>
      <c r="R24">
        <v>20</v>
      </c>
      <c r="S24">
        <v>328</v>
      </c>
      <c r="T24">
        <v>337</v>
      </c>
      <c r="U24">
        <v>339</v>
      </c>
      <c r="V24">
        <v>334</v>
      </c>
      <c r="W24">
        <v>342</v>
      </c>
      <c r="X24">
        <v>331</v>
      </c>
      <c r="AI24">
        <v>182.54837531945969</v>
      </c>
      <c r="AJ24">
        <v>69</v>
      </c>
      <c r="AK24">
        <v>0.56681270536692219</v>
      </c>
      <c r="AL24">
        <v>0</v>
      </c>
      <c r="AM24" t="s">
        <v>251</v>
      </c>
    </row>
    <row r="25" spans="1:39" x14ac:dyDescent="0.35">
      <c r="A25" t="s">
        <v>248</v>
      </c>
      <c r="B25">
        <v>9595670</v>
      </c>
      <c r="C25" t="s">
        <v>40</v>
      </c>
      <c r="D25" t="s">
        <v>214</v>
      </c>
      <c r="E25" t="s">
        <v>102</v>
      </c>
      <c r="F25" t="s">
        <v>215</v>
      </c>
      <c r="G25" t="s">
        <v>102</v>
      </c>
      <c r="H25" t="s">
        <v>249</v>
      </c>
      <c r="I25" t="s">
        <v>250</v>
      </c>
      <c r="J25">
        <v>280.16000000000003</v>
      </c>
      <c r="K25">
        <v>0</v>
      </c>
      <c r="L25">
        <v>262</v>
      </c>
      <c r="M25">
        <v>4655</v>
      </c>
      <c r="N25">
        <v>66</v>
      </c>
      <c r="O25">
        <v>48</v>
      </c>
      <c r="P25">
        <v>24</v>
      </c>
      <c r="Q25">
        <v>24</v>
      </c>
      <c r="R25">
        <v>20.5</v>
      </c>
      <c r="S25">
        <v>329</v>
      </c>
      <c r="T25">
        <v>331</v>
      </c>
      <c r="U25">
        <v>341</v>
      </c>
      <c r="V25">
        <v>336</v>
      </c>
      <c r="W25">
        <v>333</v>
      </c>
      <c r="X25">
        <v>338</v>
      </c>
      <c r="AI25">
        <v>183.49445041174371</v>
      </c>
      <c r="AJ25">
        <v>72</v>
      </c>
      <c r="AK25">
        <v>0.58002148227712136</v>
      </c>
      <c r="AL25">
        <v>24</v>
      </c>
      <c r="AM25" t="s">
        <v>252</v>
      </c>
    </row>
    <row r="26" spans="1:39" x14ac:dyDescent="0.35">
      <c r="A26" t="s">
        <v>248</v>
      </c>
      <c r="B26">
        <v>9595670</v>
      </c>
      <c r="C26" t="s">
        <v>40</v>
      </c>
      <c r="D26" t="s">
        <v>215</v>
      </c>
      <c r="E26" t="s">
        <v>102</v>
      </c>
      <c r="F26" t="s">
        <v>224</v>
      </c>
      <c r="G26" t="s">
        <v>102</v>
      </c>
      <c r="H26" t="s">
        <v>249</v>
      </c>
      <c r="I26" t="s">
        <v>250</v>
      </c>
      <c r="J26">
        <v>277.27</v>
      </c>
      <c r="K26">
        <v>0</v>
      </c>
      <c r="L26">
        <v>272</v>
      </c>
      <c r="M26">
        <v>4655</v>
      </c>
      <c r="N26">
        <v>65.349999999999994</v>
      </c>
      <c r="O26">
        <v>48</v>
      </c>
      <c r="P26">
        <v>24</v>
      </c>
      <c r="Q26">
        <v>24</v>
      </c>
      <c r="R26">
        <v>20.5</v>
      </c>
      <c r="S26">
        <v>330</v>
      </c>
      <c r="T26">
        <v>339</v>
      </c>
      <c r="U26">
        <v>332</v>
      </c>
      <c r="V26">
        <v>331</v>
      </c>
      <c r="W26">
        <v>334</v>
      </c>
      <c r="X26">
        <v>342</v>
      </c>
      <c r="AI26">
        <v>183.49445041174371</v>
      </c>
      <c r="AJ26">
        <v>72</v>
      </c>
      <c r="AK26">
        <v>0.58002148227712136</v>
      </c>
      <c r="AL26">
        <v>24</v>
      </c>
      <c r="AM26" t="s">
        <v>252</v>
      </c>
    </row>
    <row r="27" spans="1:39" x14ac:dyDescent="0.35">
      <c r="A27" t="s">
        <v>193</v>
      </c>
      <c r="B27">
        <v>9491604</v>
      </c>
      <c r="C27" t="s">
        <v>40</v>
      </c>
      <c r="D27" t="s">
        <v>230</v>
      </c>
      <c r="E27" t="s">
        <v>102</v>
      </c>
      <c r="F27" t="s">
        <v>188</v>
      </c>
      <c r="G27" t="s">
        <v>253</v>
      </c>
      <c r="H27" t="s">
        <v>254</v>
      </c>
      <c r="I27" t="s">
        <v>42</v>
      </c>
      <c r="J27">
        <v>92</v>
      </c>
      <c r="K27">
        <v>0</v>
      </c>
      <c r="L27">
        <v>94</v>
      </c>
      <c r="M27">
        <v>3360</v>
      </c>
      <c r="N27">
        <v>500</v>
      </c>
      <c r="O27">
        <v>35</v>
      </c>
      <c r="P27">
        <v>18</v>
      </c>
      <c r="Q27">
        <v>18</v>
      </c>
      <c r="R27">
        <v>10.199999999999999</v>
      </c>
      <c r="S27">
        <v>367</v>
      </c>
      <c r="T27">
        <v>380</v>
      </c>
      <c r="U27">
        <v>370</v>
      </c>
      <c r="V27">
        <v>352</v>
      </c>
      <c r="W27">
        <v>372</v>
      </c>
      <c r="X27">
        <v>351</v>
      </c>
      <c r="Y27">
        <v>335</v>
      </c>
      <c r="Z27">
        <v>344</v>
      </c>
      <c r="AI27">
        <v>168.65079365079359</v>
      </c>
      <c r="AJ27">
        <v>0</v>
      </c>
      <c r="AK27">
        <v>0</v>
      </c>
      <c r="AL27">
        <v>0</v>
      </c>
      <c r="AM27" t="s">
        <v>255</v>
      </c>
    </row>
    <row r="28" spans="1:39" x14ac:dyDescent="0.35">
      <c r="A28" t="s">
        <v>200</v>
      </c>
      <c r="B28">
        <v>9603609</v>
      </c>
      <c r="C28" t="s">
        <v>40</v>
      </c>
      <c r="D28" t="s">
        <v>213</v>
      </c>
      <c r="E28" t="s">
        <v>256</v>
      </c>
      <c r="F28" t="s">
        <v>214</v>
      </c>
      <c r="G28" t="s">
        <v>102</v>
      </c>
      <c r="H28">
        <v>20</v>
      </c>
      <c r="I28" t="s">
        <v>139</v>
      </c>
      <c r="J28">
        <v>195</v>
      </c>
      <c r="K28">
        <v>0</v>
      </c>
      <c r="L28">
        <v>234</v>
      </c>
      <c r="M28">
        <v>5008.49</v>
      </c>
      <c r="N28">
        <v>58</v>
      </c>
      <c r="O28">
        <v>23.3</v>
      </c>
      <c r="P28">
        <v>15.8</v>
      </c>
      <c r="Q28">
        <v>15.87</v>
      </c>
      <c r="R28">
        <v>17.899999999999999</v>
      </c>
      <c r="S28">
        <v>296</v>
      </c>
      <c r="T28">
        <v>290</v>
      </c>
      <c r="U28">
        <v>306</v>
      </c>
      <c r="V28">
        <v>304</v>
      </c>
      <c r="W28">
        <v>292</v>
      </c>
      <c r="X28">
        <v>290</v>
      </c>
      <c r="Y28">
        <v>297</v>
      </c>
      <c r="AI28">
        <v>226.1981939476895</v>
      </c>
      <c r="AJ28">
        <v>160</v>
      </c>
      <c r="AK28">
        <v>1.8196949680707979</v>
      </c>
      <c r="AL28">
        <v>15.7</v>
      </c>
      <c r="AM28" t="s">
        <v>257</v>
      </c>
    </row>
    <row r="29" spans="1:39" x14ac:dyDescent="0.35">
      <c r="A29" t="s">
        <v>200</v>
      </c>
      <c r="B29">
        <v>9603609</v>
      </c>
      <c r="C29" t="s">
        <v>40</v>
      </c>
      <c r="D29" t="s">
        <v>220</v>
      </c>
      <c r="E29" t="s">
        <v>102</v>
      </c>
      <c r="F29" t="s">
        <v>234</v>
      </c>
      <c r="G29" t="s">
        <v>102</v>
      </c>
      <c r="H29">
        <v>21</v>
      </c>
      <c r="I29" t="s">
        <v>45</v>
      </c>
      <c r="J29">
        <v>329</v>
      </c>
      <c r="K29">
        <v>0</v>
      </c>
      <c r="L29">
        <v>398</v>
      </c>
      <c r="M29">
        <v>6542.11</v>
      </c>
      <c r="N29">
        <v>64.8</v>
      </c>
      <c r="O29">
        <v>30.4</v>
      </c>
      <c r="P29">
        <v>24</v>
      </c>
      <c r="Q29">
        <v>24</v>
      </c>
      <c r="R29">
        <v>32.200000000000003</v>
      </c>
      <c r="S29">
        <v>311</v>
      </c>
      <c r="T29">
        <v>310</v>
      </c>
      <c r="U29">
        <v>313</v>
      </c>
      <c r="V29">
        <v>322</v>
      </c>
      <c r="W29">
        <v>296</v>
      </c>
      <c r="X29">
        <v>298</v>
      </c>
      <c r="Y29">
        <v>301</v>
      </c>
      <c r="AI29">
        <v>205.08164287464851</v>
      </c>
      <c r="AJ29">
        <v>240</v>
      </c>
      <c r="AK29">
        <v>1.3757029459914309</v>
      </c>
      <c r="AL29">
        <v>24.1</v>
      </c>
      <c r="AM29" t="s">
        <v>258</v>
      </c>
    </row>
    <row r="30" spans="1:39" x14ac:dyDescent="0.35">
      <c r="A30" t="s">
        <v>200</v>
      </c>
      <c r="B30">
        <v>9603609</v>
      </c>
      <c r="C30" t="s">
        <v>40</v>
      </c>
      <c r="D30" t="s">
        <v>234</v>
      </c>
      <c r="E30" t="s">
        <v>102</v>
      </c>
      <c r="F30" t="s">
        <v>230</v>
      </c>
      <c r="G30" t="s">
        <v>102</v>
      </c>
      <c r="H30">
        <v>21</v>
      </c>
      <c r="I30" t="s">
        <v>45</v>
      </c>
      <c r="J30">
        <v>324</v>
      </c>
      <c r="K30">
        <v>0</v>
      </c>
      <c r="L30">
        <v>392</v>
      </c>
      <c r="M30">
        <v>6293.78</v>
      </c>
      <c r="N30">
        <v>63.9</v>
      </c>
      <c r="O30">
        <v>29.3</v>
      </c>
      <c r="P30">
        <v>24</v>
      </c>
      <c r="Q30">
        <v>24</v>
      </c>
      <c r="R30">
        <v>30.5</v>
      </c>
      <c r="S30">
        <v>333</v>
      </c>
      <c r="T30">
        <v>335</v>
      </c>
      <c r="U30">
        <v>347</v>
      </c>
      <c r="V30">
        <v>359</v>
      </c>
      <c r="W30">
        <v>331</v>
      </c>
      <c r="X30">
        <v>340</v>
      </c>
      <c r="Y30">
        <v>330</v>
      </c>
      <c r="AI30">
        <v>201.91893160125289</v>
      </c>
      <c r="AJ30">
        <v>240</v>
      </c>
      <c r="AK30">
        <v>1.429983253307233</v>
      </c>
      <c r="AL30">
        <v>24</v>
      </c>
      <c r="AM30" t="s">
        <v>259</v>
      </c>
    </row>
    <row r="31" spans="1:39" x14ac:dyDescent="0.35">
      <c r="A31" t="s">
        <v>260</v>
      </c>
      <c r="B31">
        <v>9398527</v>
      </c>
      <c r="C31" t="s">
        <v>40</v>
      </c>
      <c r="D31" t="s">
        <v>213</v>
      </c>
      <c r="E31" t="s">
        <v>102</v>
      </c>
      <c r="F31" t="s">
        <v>214</v>
      </c>
      <c r="G31" t="s">
        <v>102</v>
      </c>
      <c r="H31">
        <v>2604</v>
      </c>
      <c r="I31" t="s">
        <v>218</v>
      </c>
      <c r="J31">
        <v>258</v>
      </c>
      <c r="K31">
        <v>-1</v>
      </c>
      <c r="L31">
        <v>258</v>
      </c>
      <c r="M31">
        <v>6621</v>
      </c>
      <c r="N31">
        <v>500</v>
      </c>
      <c r="O31">
        <v>66</v>
      </c>
      <c r="P31">
        <v>24</v>
      </c>
      <c r="Q31">
        <v>25</v>
      </c>
      <c r="R31">
        <v>45.31</v>
      </c>
      <c r="S31">
        <v>348</v>
      </c>
      <c r="T31">
        <v>351</v>
      </c>
      <c r="U31">
        <v>335</v>
      </c>
      <c r="V31">
        <v>360</v>
      </c>
      <c r="W31">
        <v>361</v>
      </c>
      <c r="X31">
        <v>357</v>
      </c>
      <c r="Y31">
        <v>352</v>
      </c>
      <c r="Z31">
        <v>335</v>
      </c>
      <c r="AA31">
        <v>340</v>
      </c>
      <c r="AI31">
        <v>285.14071389014748</v>
      </c>
      <c r="AJ31">
        <v>0</v>
      </c>
      <c r="AK31">
        <v>0</v>
      </c>
      <c r="AL31">
        <v>24</v>
      </c>
      <c r="AM31" t="s">
        <v>261</v>
      </c>
    </row>
    <row r="32" spans="1:39" x14ac:dyDescent="0.35">
      <c r="A32" t="s">
        <v>260</v>
      </c>
      <c r="B32">
        <v>9398527</v>
      </c>
      <c r="C32" t="s">
        <v>40</v>
      </c>
      <c r="D32" t="s">
        <v>214</v>
      </c>
      <c r="E32" t="s">
        <v>102</v>
      </c>
      <c r="F32" t="s">
        <v>215</v>
      </c>
      <c r="G32" t="s">
        <v>102</v>
      </c>
      <c r="H32">
        <v>2604</v>
      </c>
      <c r="I32" t="s">
        <v>218</v>
      </c>
      <c r="J32">
        <v>277</v>
      </c>
      <c r="K32">
        <v>0</v>
      </c>
      <c r="L32">
        <v>277</v>
      </c>
      <c r="M32">
        <v>6206</v>
      </c>
      <c r="N32">
        <v>500</v>
      </c>
      <c r="O32">
        <v>55</v>
      </c>
      <c r="P32">
        <v>24</v>
      </c>
      <c r="Q32">
        <v>24</v>
      </c>
      <c r="R32">
        <v>23.03</v>
      </c>
      <c r="S32">
        <v>328</v>
      </c>
      <c r="T32">
        <v>338</v>
      </c>
      <c r="U32">
        <v>329</v>
      </c>
      <c r="V32">
        <v>340</v>
      </c>
      <c r="W32">
        <v>339</v>
      </c>
      <c r="X32">
        <v>338</v>
      </c>
      <c r="Y32">
        <v>325</v>
      </c>
      <c r="Z32">
        <v>335</v>
      </c>
      <c r="AA32">
        <v>340</v>
      </c>
      <c r="AI32">
        <v>154.62187130733699</v>
      </c>
      <c r="AJ32">
        <v>0</v>
      </c>
      <c r="AK32">
        <v>0</v>
      </c>
      <c r="AL32">
        <v>8</v>
      </c>
      <c r="AM32" t="s">
        <v>262</v>
      </c>
    </row>
    <row r="33" spans="1:39" x14ac:dyDescent="0.35">
      <c r="A33" t="s">
        <v>260</v>
      </c>
      <c r="B33">
        <v>9398527</v>
      </c>
      <c r="C33" t="s">
        <v>40</v>
      </c>
      <c r="D33" t="s">
        <v>215</v>
      </c>
      <c r="E33" t="s">
        <v>102</v>
      </c>
      <c r="F33" t="s">
        <v>224</v>
      </c>
      <c r="G33" t="s">
        <v>102</v>
      </c>
      <c r="H33">
        <v>2604</v>
      </c>
      <c r="I33" t="s">
        <v>218</v>
      </c>
      <c r="J33">
        <v>277</v>
      </c>
      <c r="K33">
        <v>0</v>
      </c>
      <c r="L33">
        <v>277</v>
      </c>
      <c r="M33">
        <v>5751</v>
      </c>
      <c r="N33">
        <v>500</v>
      </c>
      <c r="O33">
        <v>50</v>
      </c>
      <c r="P33">
        <v>21</v>
      </c>
      <c r="Q33">
        <v>24</v>
      </c>
      <c r="R33">
        <v>15.51</v>
      </c>
      <c r="S33">
        <v>278</v>
      </c>
      <c r="T33">
        <v>290</v>
      </c>
      <c r="U33">
        <v>280</v>
      </c>
      <c r="V33">
        <v>296</v>
      </c>
      <c r="W33">
        <v>293</v>
      </c>
      <c r="X33">
        <v>273</v>
      </c>
      <c r="Y33">
        <v>285</v>
      </c>
      <c r="Z33">
        <v>275</v>
      </c>
      <c r="AA33">
        <v>280</v>
      </c>
      <c r="AI33">
        <v>128.42487020890781</v>
      </c>
      <c r="AJ33">
        <v>0</v>
      </c>
      <c r="AK33">
        <v>0</v>
      </c>
      <c r="AL33">
        <v>9.6999999999999993</v>
      </c>
      <c r="AM33" t="s">
        <v>263</v>
      </c>
    </row>
    <row r="34" spans="1:39" x14ac:dyDescent="0.35">
      <c r="A34" t="s">
        <v>260</v>
      </c>
      <c r="B34">
        <v>9398527</v>
      </c>
      <c r="C34" t="s">
        <v>40</v>
      </c>
      <c r="D34" t="s">
        <v>234</v>
      </c>
      <c r="E34" t="s">
        <v>168</v>
      </c>
      <c r="F34" t="s">
        <v>234</v>
      </c>
      <c r="G34" t="s">
        <v>102</v>
      </c>
      <c r="H34">
        <v>2605</v>
      </c>
      <c r="I34" t="s">
        <v>218</v>
      </c>
      <c r="J34">
        <v>95</v>
      </c>
      <c r="K34">
        <v>0</v>
      </c>
      <c r="L34">
        <v>95</v>
      </c>
      <c r="M34">
        <v>7162</v>
      </c>
      <c r="N34">
        <v>500</v>
      </c>
      <c r="O34">
        <v>60</v>
      </c>
      <c r="P34">
        <v>11</v>
      </c>
      <c r="Q34">
        <v>-9.9</v>
      </c>
      <c r="R34">
        <v>14.89</v>
      </c>
      <c r="S34">
        <v>325</v>
      </c>
      <c r="T34">
        <v>330</v>
      </c>
      <c r="U34">
        <v>300</v>
      </c>
      <c r="V34">
        <v>324</v>
      </c>
      <c r="W34">
        <v>334</v>
      </c>
      <c r="X34">
        <v>305</v>
      </c>
      <c r="Y34">
        <v>312</v>
      </c>
      <c r="Z34">
        <v>298</v>
      </c>
      <c r="AA34">
        <v>305</v>
      </c>
      <c r="AI34">
        <v>189.00256403747051</v>
      </c>
      <c r="AJ34">
        <v>0</v>
      </c>
      <c r="AK34">
        <v>0</v>
      </c>
      <c r="AL34">
        <v>0</v>
      </c>
      <c r="AM34" t="s">
        <v>264</v>
      </c>
    </row>
    <row r="35" spans="1:39" x14ac:dyDescent="0.35">
      <c r="A35" t="s">
        <v>260</v>
      </c>
      <c r="B35">
        <v>9398527</v>
      </c>
      <c r="C35" t="s">
        <v>40</v>
      </c>
      <c r="D35" t="s">
        <v>230</v>
      </c>
      <c r="E35" t="s">
        <v>102</v>
      </c>
      <c r="F35" t="s">
        <v>188</v>
      </c>
      <c r="G35" t="s">
        <v>102</v>
      </c>
      <c r="H35">
        <v>2605</v>
      </c>
      <c r="I35" t="s">
        <v>218</v>
      </c>
      <c r="J35">
        <v>219</v>
      </c>
      <c r="K35">
        <v>0</v>
      </c>
      <c r="L35">
        <v>219</v>
      </c>
      <c r="M35">
        <v>6041</v>
      </c>
      <c r="N35">
        <v>500</v>
      </c>
      <c r="O35">
        <v>54</v>
      </c>
      <c r="P35">
        <v>24</v>
      </c>
      <c r="Q35">
        <v>24</v>
      </c>
      <c r="R35">
        <v>28.06</v>
      </c>
      <c r="S35">
        <v>305</v>
      </c>
      <c r="T35">
        <v>281</v>
      </c>
      <c r="U35">
        <v>295</v>
      </c>
      <c r="V35">
        <v>301</v>
      </c>
      <c r="W35">
        <v>296</v>
      </c>
      <c r="X35">
        <v>286</v>
      </c>
      <c r="Y35">
        <v>311</v>
      </c>
      <c r="Z35">
        <v>308</v>
      </c>
      <c r="AA35">
        <v>312</v>
      </c>
      <c r="AI35">
        <v>193.53859736246761</v>
      </c>
      <c r="AJ35">
        <v>0</v>
      </c>
      <c r="AK35">
        <v>0</v>
      </c>
      <c r="AL35">
        <v>0</v>
      </c>
      <c r="AM35" t="s">
        <v>265</v>
      </c>
    </row>
    <row r="36" spans="1:39" x14ac:dyDescent="0.35">
      <c r="A36" t="s">
        <v>207</v>
      </c>
      <c r="B36">
        <v>9448138</v>
      </c>
      <c r="C36" t="s">
        <v>40</v>
      </c>
      <c r="D36" t="s">
        <v>220</v>
      </c>
      <c r="E36" t="s">
        <v>208</v>
      </c>
      <c r="F36" t="s">
        <v>234</v>
      </c>
      <c r="G36" t="s">
        <v>208</v>
      </c>
      <c r="H36" t="s">
        <v>209</v>
      </c>
      <c r="I36" t="s">
        <v>42</v>
      </c>
      <c r="J36">
        <v>253</v>
      </c>
      <c r="K36">
        <v>0</v>
      </c>
      <c r="L36">
        <v>246.9</v>
      </c>
      <c r="M36">
        <v>5680</v>
      </c>
      <c r="N36">
        <v>99.46</v>
      </c>
      <c r="O36">
        <v>39.94</v>
      </c>
      <c r="P36">
        <v>17.899999999999999</v>
      </c>
      <c r="Q36">
        <v>24</v>
      </c>
      <c r="R36">
        <v>21.5</v>
      </c>
      <c r="S36">
        <v>350</v>
      </c>
      <c r="T36">
        <v>340</v>
      </c>
      <c r="U36">
        <v>340</v>
      </c>
      <c r="V36">
        <v>325</v>
      </c>
      <c r="W36">
        <v>315</v>
      </c>
      <c r="X36">
        <v>350</v>
      </c>
      <c r="Y36">
        <v>325</v>
      </c>
      <c r="Z36">
        <v>325</v>
      </c>
      <c r="AA36">
        <v>345</v>
      </c>
      <c r="AI36">
        <v>211.4643166260131</v>
      </c>
      <c r="AJ36">
        <v>120</v>
      </c>
      <c r="AK36">
        <v>1.062239357935322</v>
      </c>
      <c r="AL36">
        <v>9.4</v>
      </c>
      <c r="AM36" t="s">
        <v>266</v>
      </c>
    </row>
    <row r="37" spans="1:39" x14ac:dyDescent="0.35">
      <c r="A37" t="s">
        <v>207</v>
      </c>
      <c r="B37">
        <v>9448138</v>
      </c>
      <c r="C37" t="s">
        <v>40</v>
      </c>
      <c r="D37" t="s">
        <v>234</v>
      </c>
      <c r="E37" t="s">
        <v>208</v>
      </c>
      <c r="F37" t="s">
        <v>230</v>
      </c>
      <c r="G37" t="s">
        <v>208</v>
      </c>
      <c r="H37" t="s">
        <v>209</v>
      </c>
      <c r="I37" t="s">
        <v>42</v>
      </c>
      <c r="J37">
        <v>393</v>
      </c>
      <c r="K37">
        <v>0</v>
      </c>
      <c r="L37">
        <v>378.2</v>
      </c>
      <c r="M37">
        <v>5818</v>
      </c>
      <c r="N37">
        <v>100.93</v>
      </c>
      <c r="O37">
        <v>40.92</v>
      </c>
      <c r="P37">
        <v>24</v>
      </c>
      <c r="Q37">
        <v>24</v>
      </c>
      <c r="R37">
        <v>30.1</v>
      </c>
      <c r="S37">
        <v>350</v>
      </c>
      <c r="T37">
        <v>340</v>
      </c>
      <c r="U37">
        <v>340</v>
      </c>
      <c r="V37">
        <v>325</v>
      </c>
      <c r="W37">
        <v>325</v>
      </c>
      <c r="X37">
        <v>350</v>
      </c>
      <c r="Y37">
        <v>325</v>
      </c>
      <c r="Z37">
        <v>325</v>
      </c>
      <c r="AA37">
        <v>350</v>
      </c>
      <c r="AI37">
        <v>215.56663229059239</v>
      </c>
      <c r="AJ37">
        <v>165</v>
      </c>
      <c r="AK37">
        <v>1.063509797181162</v>
      </c>
      <c r="AL37">
        <v>4.3</v>
      </c>
      <c r="AM37" t="s">
        <v>267</v>
      </c>
    </row>
    <row r="38" spans="1:39" x14ac:dyDescent="0.35">
      <c r="A38" t="s">
        <v>207</v>
      </c>
      <c r="B38">
        <v>9448138</v>
      </c>
      <c r="C38" t="s">
        <v>40</v>
      </c>
      <c r="D38" t="s">
        <v>230</v>
      </c>
      <c r="E38" t="s">
        <v>208</v>
      </c>
      <c r="F38" t="s">
        <v>188</v>
      </c>
      <c r="G38" t="s">
        <v>208</v>
      </c>
      <c r="H38" t="s">
        <v>209</v>
      </c>
      <c r="I38" t="s">
        <v>45</v>
      </c>
      <c r="J38">
        <v>376</v>
      </c>
      <c r="K38">
        <v>1</v>
      </c>
      <c r="L38">
        <v>362</v>
      </c>
      <c r="M38">
        <v>5830</v>
      </c>
      <c r="N38">
        <v>100.8</v>
      </c>
      <c r="O38">
        <v>41</v>
      </c>
      <c r="P38">
        <v>23</v>
      </c>
      <c r="Q38">
        <v>23</v>
      </c>
      <c r="R38">
        <v>28.3</v>
      </c>
      <c r="S38">
        <v>350</v>
      </c>
      <c r="T38">
        <v>350</v>
      </c>
      <c r="U38">
        <v>350</v>
      </c>
      <c r="V38">
        <v>330</v>
      </c>
      <c r="W38">
        <v>320</v>
      </c>
      <c r="X38">
        <v>345</v>
      </c>
      <c r="Y38">
        <v>335</v>
      </c>
      <c r="Z38">
        <v>325</v>
      </c>
      <c r="AA38">
        <v>350</v>
      </c>
      <c r="AI38">
        <v>211.052278320531</v>
      </c>
      <c r="AJ38">
        <v>160</v>
      </c>
      <c r="AK38">
        <v>1.0739055858005819</v>
      </c>
      <c r="AL38">
        <v>0</v>
      </c>
      <c r="AM38" t="s">
        <v>268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A5651-0A57-4E44-8EA0-92FFFBB19339}">
  <dimension ref="A1:AM31"/>
  <sheetViews>
    <sheetView workbookViewId="0">
      <selection activeCell="H21" sqref="H21"/>
    </sheetView>
  </sheetViews>
  <sheetFormatPr defaultRowHeight="14.5" x14ac:dyDescent="0.35"/>
  <sheetData>
    <row r="1" spans="1:39"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36</v>
      </c>
      <c r="AJ1" s="3" t="s">
        <v>37</v>
      </c>
      <c r="AK1" s="3" t="s">
        <v>34</v>
      </c>
      <c r="AL1" s="3" t="s">
        <v>35</v>
      </c>
      <c r="AM1" s="3" t="s">
        <v>38</v>
      </c>
    </row>
    <row r="2" spans="1:39" x14ac:dyDescent="0.35">
      <c r="A2" t="s">
        <v>110</v>
      </c>
      <c r="B2">
        <v>9672040</v>
      </c>
      <c r="C2" t="s">
        <v>40</v>
      </c>
      <c r="D2" t="s">
        <v>172</v>
      </c>
      <c r="E2" t="s">
        <v>173</v>
      </c>
      <c r="F2" t="s">
        <v>174</v>
      </c>
      <c r="G2" t="s">
        <v>102</v>
      </c>
      <c r="H2" t="s">
        <v>113</v>
      </c>
      <c r="I2" t="s">
        <v>42</v>
      </c>
      <c r="J2">
        <v>233</v>
      </c>
      <c r="K2">
        <v>0</v>
      </c>
      <c r="L2">
        <v>227</v>
      </c>
      <c r="M2">
        <v>4031</v>
      </c>
      <c r="N2">
        <v>58.16</v>
      </c>
      <c r="O2">
        <v>47</v>
      </c>
      <c r="P2">
        <v>17.8</v>
      </c>
      <c r="Q2">
        <v>18.5</v>
      </c>
      <c r="R2">
        <v>13.1</v>
      </c>
      <c r="S2">
        <v>326</v>
      </c>
      <c r="T2">
        <v>297</v>
      </c>
      <c r="U2">
        <v>297</v>
      </c>
      <c r="V2">
        <v>291</v>
      </c>
      <c r="W2">
        <v>309</v>
      </c>
      <c r="AI2">
        <v>18.5</v>
      </c>
      <c r="AJ2">
        <v>72</v>
      </c>
      <c r="AK2">
        <v>182.5738169634769</v>
      </c>
      <c r="AL2">
        <v>0.90311323200254201</v>
      </c>
      <c r="AM2" t="s">
        <v>175</v>
      </c>
    </row>
    <row r="3" spans="1:39" x14ac:dyDescent="0.35">
      <c r="A3" t="s">
        <v>110</v>
      </c>
      <c r="B3">
        <v>9672040</v>
      </c>
      <c r="C3" t="s">
        <v>40</v>
      </c>
      <c r="D3" t="s">
        <v>174</v>
      </c>
      <c r="E3" t="s">
        <v>102</v>
      </c>
      <c r="F3" t="s">
        <v>111</v>
      </c>
      <c r="G3" t="s">
        <v>102</v>
      </c>
      <c r="H3" t="s">
        <v>113</v>
      </c>
      <c r="I3" t="s">
        <v>45</v>
      </c>
      <c r="J3">
        <v>301</v>
      </c>
      <c r="K3">
        <v>1</v>
      </c>
      <c r="L3">
        <v>286</v>
      </c>
      <c r="M3">
        <v>3985</v>
      </c>
      <c r="N3">
        <v>58.59</v>
      </c>
      <c r="O3">
        <v>47</v>
      </c>
      <c r="P3">
        <v>23</v>
      </c>
      <c r="Q3">
        <v>23</v>
      </c>
      <c r="R3">
        <v>16.8</v>
      </c>
      <c r="S3">
        <v>320</v>
      </c>
      <c r="T3">
        <v>297</v>
      </c>
      <c r="U3">
        <v>297</v>
      </c>
      <c r="V3">
        <v>293</v>
      </c>
      <c r="W3">
        <v>314</v>
      </c>
      <c r="AI3">
        <v>23</v>
      </c>
      <c r="AJ3">
        <v>93</v>
      </c>
      <c r="AK3">
        <v>183.29605586165511</v>
      </c>
      <c r="AL3">
        <v>0.91320713545360321</v>
      </c>
      <c r="AM3" t="s">
        <v>109</v>
      </c>
    </row>
    <row r="4" spans="1:39" x14ac:dyDescent="0.35">
      <c r="A4" t="s">
        <v>65</v>
      </c>
      <c r="B4">
        <v>9436111</v>
      </c>
      <c r="C4" t="s">
        <v>40</v>
      </c>
      <c r="D4" t="s">
        <v>176</v>
      </c>
      <c r="E4" t="s">
        <v>102</v>
      </c>
      <c r="F4" t="s">
        <v>177</v>
      </c>
      <c r="G4" t="s">
        <v>102</v>
      </c>
      <c r="H4">
        <v>32</v>
      </c>
      <c r="I4" t="s">
        <v>45</v>
      </c>
      <c r="J4">
        <v>246</v>
      </c>
      <c r="K4">
        <v>0</v>
      </c>
      <c r="L4">
        <v>250</v>
      </c>
      <c r="M4">
        <v>4500</v>
      </c>
      <c r="N4">
        <v>90</v>
      </c>
      <c r="O4">
        <v>70</v>
      </c>
      <c r="P4">
        <v>24</v>
      </c>
      <c r="Q4">
        <v>24</v>
      </c>
      <c r="R4">
        <v>20.100000000000001</v>
      </c>
      <c r="S4">
        <v>340</v>
      </c>
      <c r="T4">
        <v>343</v>
      </c>
      <c r="U4">
        <v>345</v>
      </c>
      <c r="V4">
        <v>345</v>
      </c>
      <c r="W4">
        <v>348</v>
      </c>
      <c r="X4">
        <v>347</v>
      </c>
      <c r="AI4">
        <v>18</v>
      </c>
      <c r="AJ4">
        <v>120</v>
      </c>
      <c r="AK4">
        <v>186.11111111111109</v>
      </c>
      <c r="AL4">
        <v>1</v>
      </c>
      <c r="AM4" t="s">
        <v>109</v>
      </c>
    </row>
    <row r="5" spans="1:39" x14ac:dyDescent="0.35">
      <c r="A5" t="s">
        <v>65</v>
      </c>
      <c r="B5">
        <v>9436111</v>
      </c>
      <c r="C5" t="s">
        <v>40</v>
      </c>
      <c r="D5" t="s">
        <v>177</v>
      </c>
      <c r="E5" t="s">
        <v>102</v>
      </c>
      <c r="F5" t="s">
        <v>172</v>
      </c>
      <c r="G5" t="s">
        <v>102</v>
      </c>
      <c r="H5">
        <v>32</v>
      </c>
      <c r="I5" t="s">
        <v>45</v>
      </c>
      <c r="J5">
        <v>246</v>
      </c>
      <c r="K5">
        <v>0</v>
      </c>
      <c r="L5">
        <v>251</v>
      </c>
      <c r="M5">
        <v>4460</v>
      </c>
      <c r="N5">
        <v>90</v>
      </c>
      <c r="O5">
        <v>68</v>
      </c>
      <c r="P5">
        <v>24</v>
      </c>
      <c r="Q5">
        <v>24</v>
      </c>
      <c r="R5">
        <v>19.8</v>
      </c>
      <c r="S5">
        <v>343</v>
      </c>
      <c r="T5">
        <v>344</v>
      </c>
      <c r="U5">
        <v>345</v>
      </c>
      <c r="V5">
        <v>349</v>
      </c>
      <c r="W5">
        <v>344</v>
      </c>
      <c r="X5">
        <v>345</v>
      </c>
      <c r="AI5">
        <v>24</v>
      </c>
      <c r="AJ5">
        <v>127</v>
      </c>
      <c r="AK5">
        <v>184.97757847533629</v>
      </c>
      <c r="AL5">
        <v>1.067825112107623</v>
      </c>
      <c r="AM5" t="s">
        <v>109</v>
      </c>
    </row>
    <row r="6" spans="1:39" x14ac:dyDescent="0.35">
      <c r="A6" t="s">
        <v>65</v>
      </c>
      <c r="B6">
        <v>9436111</v>
      </c>
      <c r="C6" t="s">
        <v>40</v>
      </c>
      <c r="D6" t="s">
        <v>172</v>
      </c>
      <c r="E6" t="s">
        <v>102</v>
      </c>
      <c r="F6" t="s">
        <v>174</v>
      </c>
      <c r="G6" t="s">
        <v>102</v>
      </c>
      <c r="H6">
        <v>32</v>
      </c>
      <c r="I6" t="s">
        <v>129</v>
      </c>
      <c r="J6">
        <v>246</v>
      </c>
      <c r="K6">
        <v>1</v>
      </c>
      <c r="L6">
        <v>249</v>
      </c>
      <c r="M6">
        <v>4554</v>
      </c>
      <c r="N6">
        <v>92</v>
      </c>
      <c r="O6">
        <v>68</v>
      </c>
      <c r="P6">
        <v>23</v>
      </c>
      <c r="Q6">
        <v>23</v>
      </c>
      <c r="R6">
        <v>20.2</v>
      </c>
      <c r="S6">
        <v>345</v>
      </c>
      <c r="T6">
        <v>344</v>
      </c>
      <c r="U6">
        <v>347</v>
      </c>
      <c r="V6">
        <v>345</v>
      </c>
      <c r="W6">
        <v>346</v>
      </c>
      <c r="X6">
        <v>345</v>
      </c>
      <c r="AI6">
        <v>23</v>
      </c>
      <c r="AJ6">
        <v>113</v>
      </c>
      <c r="AK6">
        <v>192.85482423478641</v>
      </c>
      <c r="AL6">
        <v>0.97095720914246431</v>
      </c>
      <c r="AM6" t="s">
        <v>109</v>
      </c>
    </row>
    <row r="7" spans="1:39" x14ac:dyDescent="0.35">
      <c r="A7" t="s">
        <v>65</v>
      </c>
      <c r="B7">
        <v>9436111</v>
      </c>
      <c r="C7" t="s">
        <v>40</v>
      </c>
      <c r="D7" t="s">
        <v>174</v>
      </c>
      <c r="E7" t="s">
        <v>102</v>
      </c>
      <c r="F7" t="s">
        <v>111</v>
      </c>
      <c r="G7" t="s">
        <v>102</v>
      </c>
      <c r="H7">
        <v>32</v>
      </c>
      <c r="I7" t="s">
        <v>129</v>
      </c>
      <c r="J7">
        <v>264</v>
      </c>
      <c r="K7">
        <v>0</v>
      </c>
      <c r="L7">
        <v>270</v>
      </c>
      <c r="M7">
        <v>4590</v>
      </c>
      <c r="N7">
        <v>92</v>
      </c>
      <c r="O7">
        <v>68</v>
      </c>
      <c r="P7">
        <v>24</v>
      </c>
      <c r="Q7">
        <v>24</v>
      </c>
      <c r="R7">
        <v>21.3</v>
      </c>
      <c r="S7">
        <v>346</v>
      </c>
      <c r="T7">
        <v>344</v>
      </c>
      <c r="U7">
        <v>348</v>
      </c>
      <c r="V7">
        <v>344</v>
      </c>
      <c r="W7">
        <v>345</v>
      </c>
      <c r="X7">
        <v>344</v>
      </c>
      <c r="AI7">
        <v>24</v>
      </c>
      <c r="AJ7">
        <v>129</v>
      </c>
      <c r="AK7">
        <v>193.3551198257081</v>
      </c>
      <c r="AL7">
        <v>1.053921568627451</v>
      </c>
      <c r="AM7" t="s">
        <v>109</v>
      </c>
    </row>
    <row r="8" spans="1:39" x14ac:dyDescent="0.35">
      <c r="A8" t="s">
        <v>69</v>
      </c>
      <c r="B8">
        <v>9634672</v>
      </c>
      <c r="C8" t="s">
        <v>40</v>
      </c>
      <c r="D8" t="s">
        <v>178</v>
      </c>
      <c r="E8" t="s">
        <v>102</v>
      </c>
      <c r="F8" t="s">
        <v>176</v>
      </c>
      <c r="G8" t="s">
        <v>102</v>
      </c>
      <c r="H8">
        <v>1</v>
      </c>
      <c r="I8" t="s">
        <v>129</v>
      </c>
      <c r="J8">
        <v>249</v>
      </c>
      <c r="K8">
        <v>1</v>
      </c>
      <c r="L8">
        <v>299</v>
      </c>
      <c r="M8">
        <v>2971</v>
      </c>
      <c r="N8">
        <v>67.2</v>
      </c>
      <c r="O8">
        <v>20.5</v>
      </c>
      <c r="P8">
        <v>25</v>
      </c>
      <c r="Q8">
        <v>23</v>
      </c>
      <c r="R8">
        <v>20.440000000000001</v>
      </c>
      <c r="S8">
        <v>366</v>
      </c>
      <c r="T8">
        <v>352</v>
      </c>
      <c r="U8">
        <v>360</v>
      </c>
      <c r="V8">
        <v>349</v>
      </c>
      <c r="W8">
        <v>363</v>
      </c>
      <c r="X8">
        <v>352</v>
      </c>
      <c r="AI8">
        <v>2</v>
      </c>
      <c r="AJ8">
        <v>80</v>
      </c>
      <c r="AK8">
        <v>275.19353752945142</v>
      </c>
      <c r="AL8">
        <v>0.96937058229552342</v>
      </c>
      <c r="AM8" t="s">
        <v>179</v>
      </c>
    </row>
    <row r="9" spans="1:39" x14ac:dyDescent="0.35">
      <c r="A9" t="s">
        <v>69</v>
      </c>
      <c r="B9">
        <v>9634672</v>
      </c>
      <c r="C9" t="s">
        <v>40</v>
      </c>
      <c r="D9" t="s">
        <v>176</v>
      </c>
      <c r="E9" t="s">
        <v>102</v>
      </c>
      <c r="F9" t="s">
        <v>177</v>
      </c>
      <c r="G9" t="s">
        <v>102</v>
      </c>
      <c r="H9">
        <v>1</v>
      </c>
      <c r="I9" t="s">
        <v>66</v>
      </c>
      <c r="J9">
        <v>247</v>
      </c>
      <c r="K9">
        <v>0</v>
      </c>
      <c r="L9">
        <v>309</v>
      </c>
      <c r="M9">
        <v>3769.2</v>
      </c>
      <c r="N9">
        <v>72.7</v>
      </c>
      <c r="O9">
        <v>26</v>
      </c>
      <c r="P9">
        <v>24</v>
      </c>
      <c r="Q9">
        <v>24</v>
      </c>
      <c r="R9">
        <v>23.75</v>
      </c>
      <c r="S9">
        <v>371</v>
      </c>
      <c r="T9">
        <v>367</v>
      </c>
      <c r="U9">
        <v>376</v>
      </c>
      <c r="V9">
        <v>361</v>
      </c>
      <c r="W9">
        <v>369</v>
      </c>
      <c r="X9">
        <v>362</v>
      </c>
      <c r="AI9">
        <v>0</v>
      </c>
      <c r="AJ9">
        <v>80</v>
      </c>
      <c r="AK9">
        <v>262.54466022851892</v>
      </c>
      <c r="AL9">
        <v>0.79592486469277313</v>
      </c>
      <c r="AM9" t="s">
        <v>180</v>
      </c>
    </row>
    <row r="10" spans="1:39" x14ac:dyDescent="0.35">
      <c r="A10" t="s">
        <v>69</v>
      </c>
      <c r="B10">
        <v>9634672</v>
      </c>
      <c r="C10" t="s">
        <v>40</v>
      </c>
      <c r="D10" t="s">
        <v>177</v>
      </c>
      <c r="E10" t="s">
        <v>102</v>
      </c>
      <c r="F10" t="s">
        <v>172</v>
      </c>
      <c r="G10" t="s">
        <v>102</v>
      </c>
      <c r="H10">
        <v>1</v>
      </c>
      <c r="I10" t="s">
        <v>66</v>
      </c>
      <c r="J10">
        <v>291</v>
      </c>
      <c r="K10">
        <v>0</v>
      </c>
      <c r="L10">
        <v>350</v>
      </c>
      <c r="M10">
        <v>6115.2</v>
      </c>
      <c r="N10">
        <v>85.5</v>
      </c>
      <c r="O10">
        <v>42.1</v>
      </c>
      <c r="P10">
        <v>24</v>
      </c>
      <c r="Q10">
        <v>24</v>
      </c>
      <c r="R10">
        <v>33.9</v>
      </c>
      <c r="S10">
        <v>395</v>
      </c>
      <c r="T10">
        <v>381</v>
      </c>
      <c r="U10">
        <v>385</v>
      </c>
      <c r="V10">
        <v>366</v>
      </c>
      <c r="W10">
        <v>406</v>
      </c>
      <c r="X10">
        <v>419</v>
      </c>
      <c r="AI10">
        <v>1</v>
      </c>
      <c r="AJ10">
        <v>90</v>
      </c>
      <c r="AK10">
        <v>230.98181580324439</v>
      </c>
      <c r="AL10">
        <v>0.55190345368916804</v>
      </c>
      <c r="AM10" t="s">
        <v>181</v>
      </c>
    </row>
    <row r="11" spans="1:39" x14ac:dyDescent="0.35">
      <c r="A11" t="s">
        <v>69</v>
      </c>
      <c r="B11">
        <v>9634672</v>
      </c>
      <c r="C11" t="s">
        <v>40</v>
      </c>
      <c r="D11" t="s">
        <v>172</v>
      </c>
      <c r="E11" t="s">
        <v>102</v>
      </c>
      <c r="F11" t="s">
        <v>174</v>
      </c>
      <c r="G11" t="s">
        <v>102</v>
      </c>
      <c r="H11">
        <v>1</v>
      </c>
      <c r="I11" t="s">
        <v>130</v>
      </c>
      <c r="J11">
        <v>329</v>
      </c>
      <c r="K11">
        <v>1</v>
      </c>
      <c r="L11">
        <v>373</v>
      </c>
      <c r="M11">
        <v>5990.5</v>
      </c>
      <c r="N11">
        <v>84.9</v>
      </c>
      <c r="O11">
        <v>41.3</v>
      </c>
      <c r="P11">
        <v>25</v>
      </c>
      <c r="Q11">
        <v>23</v>
      </c>
      <c r="R11">
        <v>35.481000000000002</v>
      </c>
      <c r="S11">
        <v>398</v>
      </c>
      <c r="T11">
        <v>384</v>
      </c>
      <c r="U11">
        <v>391</v>
      </c>
      <c r="V11">
        <v>373</v>
      </c>
      <c r="W11">
        <v>409</v>
      </c>
      <c r="X11">
        <v>415</v>
      </c>
      <c r="AI11">
        <v>0</v>
      </c>
      <c r="AJ11">
        <v>95</v>
      </c>
      <c r="AK11">
        <v>236.9151155996995</v>
      </c>
      <c r="AL11">
        <v>0.57090393122443872</v>
      </c>
      <c r="AM11" t="s">
        <v>182</v>
      </c>
    </row>
    <row r="12" spans="1:39" x14ac:dyDescent="0.35">
      <c r="A12" t="s">
        <v>69</v>
      </c>
      <c r="B12">
        <v>9634672</v>
      </c>
      <c r="C12" t="s">
        <v>40</v>
      </c>
      <c r="D12" t="s">
        <v>174</v>
      </c>
      <c r="E12" t="s">
        <v>102</v>
      </c>
      <c r="F12" t="s">
        <v>111</v>
      </c>
      <c r="G12" t="s">
        <v>102</v>
      </c>
      <c r="H12" t="s">
        <v>183</v>
      </c>
      <c r="I12" t="s">
        <v>130</v>
      </c>
      <c r="J12">
        <v>322</v>
      </c>
      <c r="K12">
        <v>0</v>
      </c>
      <c r="L12">
        <v>371</v>
      </c>
      <c r="M12">
        <v>6387.5</v>
      </c>
      <c r="N12">
        <v>86.7</v>
      </c>
      <c r="O12">
        <v>44</v>
      </c>
      <c r="P12">
        <v>24</v>
      </c>
      <c r="Q12">
        <v>24</v>
      </c>
      <c r="R12">
        <v>34.6</v>
      </c>
      <c r="S12">
        <v>403</v>
      </c>
      <c r="T12">
        <v>390</v>
      </c>
      <c r="U12">
        <v>384</v>
      </c>
      <c r="V12">
        <v>378</v>
      </c>
      <c r="W12">
        <v>406</v>
      </c>
      <c r="X12">
        <v>407</v>
      </c>
      <c r="AI12">
        <v>0</v>
      </c>
      <c r="AJ12">
        <v>95</v>
      </c>
      <c r="AK12">
        <v>225.70123939986951</v>
      </c>
      <c r="AL12">
        <v>0.55772994129158515</v>
      </c>
      <c r="AM12" t="s">
        <v>184</v>
      </c>
    </row>
    <row r="13" spans="1:39" x14ac:dyDescent="0.35">
      <c r="A13" t="s">
        <v>74</v>
      </c>
      <c r="B13">
        <v>9464314</v>
      </c>
      <c r="C13" t="s">
        <v>40</v>
      </c>
      <c r="D13" t="s">
        <v>178</v>
      </c>
      <c r="E13" t="s">
        <v>185</v>
      </c>
      <c r="F13" t="s">
        <v>176</v>
      </c>
      <c r="G13" t="s">
        <v>102</v>
      </c>
      <c r="H13" t="s">
        <v>186</v>
      </c>
      <c r="I13" t="s">
        <v>139</v>
      </c>
      <c r="J13">
        <v>169</v>
      </c>
      <c r="K13">
        <v>0</v>
      </c>
      <c r="L13">
        <v>154</v>
      </c>
      <c r="M13">
        <v>5785</v>
      </c>
      <c r="N13">
        <v>51</v>
      </c>
      <c r="O13">
        <v>16</v>
      </c>
      <c r="P13">
        <v>15.3</v>
      </c>
      <c r="Q13">
        <v>15.33</v>
      </c>
      <c r="R13">
        <v>15.8</v>
      </c>
      <c r="S13">
        <v>270</v>
      </c>
      <c r="T13">
        <v>320</v>
      </c>
      <c r="U13">
        <v>305</v>
      </c>
      <c r="V13">
        <v>290</v>
      </c>
      <c r="W13">
        <v>325</v>
      </c>
      <c r="X13">
        <v>306</v>
      </c>
      <c r="Y13">
        <v>326</v>
      </c>
      <c r="Z13">
        <v>290</v>
      </c>
      <c r="AI13">
        <v>0</v>
      </c>
      <c r="AJ13">
        <v>110</v>
      </c>
      <c r="AK13">
        <v>178.50989430632521</v>
      </c>
      <c r="AL13">
        <v>1.1185113630586201</v>
      </c>
      <c r="AM13" t="s">
        <v>187</v>
      </c>
    </row>
    <row r="14" spans="1:39" x14ac:dyDescent="0.35">
      <c r="A14" t="s">
        <v>150</v>
      </c>
      <c r="B14">
        <v>9668960</v>
      </c>
      <c r="C14" t="s">
        <v>40</v>
      </c>
      <c r="D14" t="s">
        <v>188</v>
      </c>
      <c r="E14" t="s">
        <v>102</v>
      </c>
      <c r="F14" t="s">
        <v>189</v>
      </c>
      <c r="G14" t="s">
        <v>102</v>
      </c>
      <c r="H14" t="s">
        <v>152</v>
      </c>
      <c r="I14" t="s">
        <v>86</v>
      </c>
      <c r="J14">
        <v>354</v>
      </c>
      <c r="K14">
        <v>0</v>
      </c>
      <c r="L14">
        <v>370</v>
      </c>
      <c r="M14">
        <v>7782.6</v>
      </c>
      <c r="N14">
        <v>70.5</v>
      </c>
      <c r="O14">
        <v>34</v>
      </c>
      <c r="P14">
        <v>24</v>
      </c>
      <c r="Q14">
        <v>24</v>
      </c>
      <c r="R14">
        <v>43.239999999999988</v>
      </c>
      <c r="S14">
        <v>272</v>
      </c>
      <c r="T14">
        <v>285</v>
      </c>
      <c r="U14">
        <v>263</v>
      </c>
      <c r="V14">
        <v>284</v>
      </c>
      <c r="W14">
        <v>287</v>
      </c>
      <c r="X14">
        <v>262</v>
      </c>
      <c r="Y14">
        <v>283</v>
      </c>
      <c r="AI14">
        <v>0</v>
      </c>
      <c r="AJ14">
        <v>335</v>
      </c>
      <c r="AK14">
        <v>231.49932755976999</v>
      </c>
      <c r="AL14">
        <v>1.6141777812042251</v>
      </c>
      <c r="AM14" t="s">
        <v>190</v>
      </c>
    </row>
    <row r="15" spans="1:39" x14ac:dyDescent="0.35">
      <c r="A15" t="s">
        <v>150</v>
      </c>
      <c r="B15">
        <v>9668960</v>
      </c>
      <c r="C15" t="s">
        <v>40</v>
      </c>
      <c r="D15" t="s">
        <v>177</v>
      </c>
      <c r="E15" t="s">
        <v>102</v>
      </c>
      <c r="F15" t="s">
        <v>172</v>
      </c>
      <c r="G15" t="s">
        <v>102</v>
      </c>
      <c r="H15" t="s">
        <v>152</v>
      </c>
      <c r="I15" t="s">
        <v>66</v>
      </c>
      <c r="J15">
        <v>384</v>
      </c>
      <c r="K15">
        <v>0</v>
      </c>
      <c r="L15">
        <v>385</v>
      </c>
      <c r="M15">
        <v>10300.5</v>
      </c>
      <c r="N15">
        <v>88.5</v>
      </c>
      <c r="O15">
        <v>45</v>
      </c>
      <c r="P15">
        <v>24</v>
      </c>
      <c r="Q15">
        <v>24</v>
      </c>
      <c r="R15">
        <v>46.8</v>
      </c>
      <c r="S15">
        <v>367</v>
      </c>
      <c r="T15">
        <v>374</v>
      </c>
      <c r="U15">
        <v>350</v>
      </c>
      <c r="V15">
        <v>380</v>
      </c>
      <c r="W15">
        <v>394</v>
      </c>
      <c r="X15">
        <v>348</v>
      </c>
      <c r="Y15">
        <v>375</v>
      </c>
      <c r="AI15">
        <v>6</v>
      </c>
      <c r="AJ15">
        <v>384</v>
      </c>
      <c r="AK15">
        <v>189.3111984855104</v>
      </c>
      <c r="AL15">
        <v>1.397990388816077</v>
      </c>
      <c r="AM15" t="s">
        <v>191</v>
      </c>
    </row>
    <row r="16" spans="1:39" x14ac:dyDescent="0.35">
      <c r="A16" t="s">
        <v>89</v>
      </c>
      <c r="B16">
        <v>9442392</v>
      </c>
      <c r="C16" t="s">
        <v>40</v>
      </c>
      <c r="D16" t="s">
        <v>188</v>
      </c>
      <c r="E16" t="s">
        <v>102</v>
      </c>
      <c r="F16" t="s">
        <v>189</v>
      </c>
      <c r="G16" t="s">
        <v>102</v>
      </c>
      <c r="H16" t="s">
        <v>90</v>
      </c>
      <c r="I16" t="s">
        <v>42</v>
      </c>
      <c r="J16">
        <v>252</v>
      </c>
      <c r="K16">
        <v>1</v>
      </c>
      <c r="L16">
        <v>264</v>
      </c>
      <c r="M16">
        <v>4964</v>
      </c>
      <c r="N16">
        <v>72.98</v>
      </c>
      <c r="O16">
        <v>46.2</v>
      </c>
      <c r="P16">
        <v>23</v>
      </c>
      <c r="Q16">
        <v>23</v>
      </c>
      <c r="R16">
        <v>20.55</v>
      </c>
      <c r="S16">
        <v>348</v>
      </c>
      <c r="T16">
        <v>353</v>
      </c>
      <c r="U16">
        <v>333</v>
      </c>
      <c r="V16">
        <v>320</v>
      </c>
      <c r="W16">
        <v>351</v>
      </c>
      <c r="X16">
        <v>319</v>
      </c>
      <c r="AI16">
        <v>23</v>
      </c>
      <c r="AJ16">
        <v>126</v>
      </c>
      <c r="AK16">
        <v>179.99159163367551</v>
      </c>
      <c r="AL16">
        <v>0.99323827208072035</v>
      </c>
      <c r="AM16" t="s">
        <v>109</v>
      </c>
    </row>
    <row r="17" spans="1:39" x14ac:dyDescent="0.35">
      <c r="A17" t="s">
        <v>89</v>
      </c>
      <c r="B17">
        <v>9442392</v>
      </c>
      <c r="C17" t="s">
        <v>40</v>
      </c>
      <c r="D17" t="s">
        <v>189</v>
      </c>
      <c r="E17" t="s">
        <v>102</v>
      </c>
      <c r="F17" t="s">
        <v>178</v>
      </c>
      <c r="G17" t="s">
        <v>102</v>
      </c>
      <c r="H17" t="s">
        <v>192</v>
      </c>
      <c r="I17" t="s">
        <v>42</v>
      </c>
      <c r="J17">
        <v>246</v>
      </c>
      <c r="K17">
        <v>0</v>
      </c>
      <c r="L17">
        <v>270</v>
      </c>
      <c r="M17">
        <v>4951</v>
      </c>
      <c r="N17">
        <v>72.33</v>
      </c>
      <c r="O17">
        <v>46.1</v>
      </c>
      <c r="P17">
        <v>24</v>
      </c>
      <c r="Q17">
        <v>24</v>
      </c>
      <c r="R17">
        <v>21.39</v>
      </c>
      <c r="S17">
        <v>346</v>
      </c>
      <c r="T17">
        <v>354</v>
      </c>
      <c r="U17">
        <v>339</v>
      </c>
      <c r="V17">
        <v>321</v>
      </c>
      <c r="W17">
        <v>354</v>
      </c>
      <c r="X17">
        <v>320</v>
      </c>
      <c r="AI17">
        <v>14</v>
      </c>
      <c r="AJ17">
        <v>131</v>
      </c>
      <c r="AK17">
        <v>180.01413855786711</v>
      </c>
      <c r="AL17">
        <v>0.99222379317309639</v>
      </c>
      <c r="AM17" t="s">
        <v>109</v>
      </c>
    </row>
    <row r="18" spans="1:39" x14ac:dyDescent="0.35">
      <c r="A18" t="s">
        <v>89</v>
      </c>
      <c r="B18">
        <v>9442392</v>
      </c>
      <c r="C18" t="s">
        <v>40</v>
      </c>
      <c r="D18" t="s">
        <v>178</v>
      </c>
      <c r="E18" t="s">
        <v>102</v>
      </c>
      <c r="F18" t="s">
        <v>176</v>
      </c>
      <c r="G18" t="s">
        <v>102</v>
      </c>
      <c r="H18" t="s">
        <v>192</v>
      </c>
      <c r="I18" t="s">
        <v>42</v>
      </c>
      <c r="J18">
        <v>249</v>
      </c>
      <c r="K18">
        <v>0</v>
      </c>
      <c r="L18">
        <v>275</v>
      </c>
      <c r="M18">
        <v>4949</v>
      </c>
      <c r="N18">
        <v>72.25</v>
      </c>
      <c r="O18">
        <v>46.1</v>
      </c>
      <c r="P18">
        <v>24</v>
      </c>
      <c r="Q18">
        <v>24</v>
      </c>
      <c r="R18">
        <v>21.38</v>
      </c>
      <c r="S18">
        <v>347</v>
      </c>
      <c r="T18">
        <v>357</v>
      </c>
      <c r="U18">
        <v>342</v>
      </c>
      <c r="V18">
        <v>329</v>
      </c>
      <c r="W18">
        <v>350</v>
      </c>
      <c r="X18">
        <v>322</v>
      </c>
      <c r="AI18">
        <v>0</v>
      </c>
      <c r="AJ18">
        <v>131</v>
      </c>
      <c r="AK18">
        <v>180.00269414696569</v>
      </c>
      <c r="AL18">
        <v>0.99262477268134974</v>
      </c>
      <c r="AM18" t="s">
        <v>109</v>
      </c>
    </row>
    <row r="19" spans="1:39" x14ac:dyDescent="0.35">
      <c r="A19" t="s">
        <v>89</v>
      </c>
      <c r="B19">
        <v>9442392</v>
      </c>
      <c r="C19" t="s">
        <v>40</v>
      </c>
      <c r="D19" t="s">
        <v>176</v>
      </c>
      <c r="E19" t="s">
        <v>102</v>
      </c>
      <c r="F19" t="s">
        <v>177</v>
      </c>
      <c r="G19" t="s">
        <v>102</v>
      </c>
      <c r="H19" t="s">
        <v>90</v>
      </c>
      <c r="I19" t="s">
        <v>58</v>
      </c>
      <c r="J19">
        <v>251</v>
      </c>
      <c r="K19">
        <v>1</v>
      </c>
      <c r="L19">
        <v>262</v>
      </c>
      <c r="M19">
        <v>5012</v>
      </c>
      <c r="N19">
        <v>73.430000000000007</v>
      </c>
      <c r="O19">
        <v>46.7</v>
      </c>
      <c r="P19">
        <v>23</v>
      </c>
      <c r="Q19">
        <v>23</v>
      </c>
      <c r="R19">
        <v>20.75</v>
      </c>
      <c r="S19">
        <v>350</v>
      </c>
      <c r="T19">
        <v>357</v>
      </c>
      <c r="U19">
        <v>339</v>
      </c>
      <c r="V19">
        <v>325</v>
      </c>
      <c r="W19">
        <v>355</v>
      </c>
      <c r="X19">
        <v>321</v>
      </c>
      <c r="AI19">
        <v>0</v>
      </c>
      <c r="AJ19">
        <v>136</v>
      </c>
      <c r="AK19">
        <v>180.00277594642421</v>
      </c>
      <c r="AL19">
        <v>1.0617995072695099</v>
      </c>
      <c r="AM19" t="s">
        <v>109</v>
      </c>
    </row>
    <row r="20" spans="1:39" x14ac:dyDescent="0.35">
      <c r="A20" t="s">
        <v>89</v>
      </c>
      <c r="B20">
        <v>9442392</v>
      </c>
      <c r="C20" t="s">
        <v>40</v>
      </c>
      <c r="D20" t="s">
        <v>177</v>
      </c>
      <c r="E20" t="s">
        <v>102</v>
      </c>
      <c r="F20" t="s">
        <v>172</v>
      </c>
      <c r="G20" t="s">
        <v>102</v>
      </c>
      <c r="H20" t="s">
        <v>90</v>
      </c>
      <c r="I20" t="s">
        <v>45</v>
      </c>
      <c r="J20">
        <v>242</v>
      </c>
      <c r="K20">
        <v>0</v>
      </c>
      <c r="L20">
        <v>276</v>
      </c>
      <c r="M20">
        <v>4949</v>
      </c>
      <c r="N20">
        <v>71.819999999999993</v>
      </c>
      <c r="O20">
        <v>46.1</v>
      </c>
      <c r="P20">
        <v>24</v>
      </c>
      <c r="Q20">
        <v>24</v>
      </c>
      <c r="R20">
        <v>21.38</v>
      </c>
      <c r="S20">
        <v>351</v>
      </c>
      <c r="T20">
        <v>358</v>
      </c>
      <c r="U20">
        <v>337</v>
      </c>
      <c r="V20">
        <v>326</v>
      </c>
      <c r="W20">
        <v>355</v>
      </c>
      <c r="X20">
        <v>321</v>
      </c>
      <c r="AI20">
        <v>23</v>
      </c>
      <c r="AJ20">
        <v>132</v>
      </c>
      <c r="AK20">
        <v>180.00269414696569</v>
      </c>
      <c r="AL20">
        <v>1.0002020610224289</v>
      </c>
      <c r="AM20" t="s">
        <v>109</v>
      </c>
    </row>
    <row r="21" spans="1:39" x14ac:dyDescent="0.35">
      <c r="A21" t="s">
        <v>89</v>
      </c>
      <c r="B21">
        <v>9442392</v>
      </c>
      <c r="C21" t="s">
        <v>40</v>
      </c>
      <c r="D21" t="s">
        <v>172</v>
      </c>
      <c r="E21" t="s">
        <v>102</v>
      </c>
      <c r="F21" t="s">
        <v>174</v>
      </c>
      <c r="G21" t="s">
        <v>102</v>
      </c>
      <c r="H21" t="s">
        <v>192</v>
      </c>
      <c r="I21" t="s">
        <v>45</v>
      </c>
      <c r="J21">
        <v>249</v>
      </c>
      <c r="K21">
        <v>0</v>
      </c>
      <c r="L21">
        <v>272</v>
      </c>
      <c r="M21">
        <v>4926</v>
      </c>
      <c r="N21">
        <v>72.48</v>
      </c>
      <c r="O21">
        <v>45.9</v>
      </c>
      <c r="P21">
        <v>24</v>
      </c>
      <c r="Q21">
        <v>24</v>
      </c>
      <c r="R21">
        <v>21.28</v>
      </c>
      <c r="S21">
        <v>351</v>
      </c>
      <c r="T21">
        <v>358</v>
      </c>
      <c r="U21">
        <v>338</v>
      </c>
      <c r="V21">
        <v>326</v>
      </c>
      <c r="W21">
        <v>357</v>
      </c>
      <c r="X21">
        <v>321</v>
      </c>
      <c r="AI21">
        <v>24</v>
      </c>
      <c r="AJ21">
        <v>131</v>
      </c>
      <c r="AK21">
        <v>179.99729327378529</v>
      </c>
      <c r="AL21">
        <v>0.99725943970767361</v>
      </c>
      <c r="AM21" t="s">
        <v>109</v>
      </c>
    </row>
    <row r="22" spans="1:39" x14ac:dyDescent="0.35">
      <c r="A22" t="s">
        <v>89</v>
      </c>
      <c r="B22">
        <v>9442392</v>
      </c>
      <c r="C22" t="s">
        <v>40</v>
      </c>
      <c r="D22" t="s">
        <v>174</v>
      </c>
      <c r="E22" t="s">
        <v>102</v>
      </c>
      <c r="F22" t="s">
        <v>111</v>
      </c>
      <c r="G22" t="s">
        <v>102</v>
      </c>
      <c r="H22" t="s">
        <v>192</v>
      </c>
      <c r="I22" t="s">
        <v>45</v>
      </c>
      <c r="J22">
        <v>252</v>
      </c>
      <c r="K22">
        <v>0</v>
      </c>
      <c r="L22">
        <v>272</v>
      </c>
      <c r="M22">
        <v>4951</v>
      </c>
      <c r="N22">
        <v>73.180000000000007</v>
      </c>
      <c r="O22">
        <v>46.1</v>
      </c>
      <c r="P22">
        <v>24</v>
      </c>
      <c r="Q22">
        <v>24</v>
      </c>
      <c r="R22">
        <v>21.39</v>
      </c>
      <c r="S22">
        <v>351</v>
      </c>
      <c r="T22">
        <v>366</v>
      </c>
      <c r="U22">
        <v>339</v>
      </c>
      <c r="V22">
        <v>324</v>
      </c>
      <c r="W22">
        <v>357</v>
      </c>
      <c r="X22">
        <v>319</v>
      </c>
      <c r="AI22">
        <v>24</v>
      </c>
      <c r="AJ22">
        <v>132</v>
      </c>
      <c r="AK22">
        <v>180.01413855786711</v>
      </c>
      <c r="AL22">
        <v>0.9997980206018986</v>
      </c>
      <c r="AM22" t="s">
        <v>109</v>
      </c>
    </row>
    <row r="23" spans="1:39" x14ac:dyDescent="0.35">
      <c r="A23" t="s">
        <v>193</v>
      </c>
      <c r="B23">
        <v>9491604</v>
      </c>
      <c r="C23" t="s">
        <v>54</v>
      </c>
      <c r="D23" t="s">
        <v>177</v>
      </c>
      <c r="E23" t="s">
        <v>194</v>
      </c>
      <c r="F23" t="s">
        <v>177</v>
      </c>
      <c r="G23" t="s">
        <v>195</v>
      </c>
      <c r="H23" t="s">
        <v>196</v>
      </c>
      <c r="I23" t="s">
        <v>42</v>
      </c>
      <c r="J23">
        <v>2</v>
      </c>
      <c r="K23">
        <v>0</v>
      </c>
      <c r="L23">
        <v>2</v>
      </c>
      <c r="M23">
        <v>4800</v>
      </c>
      <c r="N23">
        <v>500</v>
      </c>
      <c r="O23">
        <v>50</v>
      </c>
      <c r="P23">
        <v>3.1</v>
      </c>
      <c r="Q23">
        <v>1.7</v>
      </c>
      <c r="R23">
        <v>1</v>
      </c>
      <c r="AI23">
        <v>2.8</v>
      </c>
      <c r="AJ23">
        <v>0</v>
      </c>
      <c r="AK23">
        <v>67.204301075268816</v>
      </c>
      <c r="AL23">
        <v>0</v>
      </c>
      <c r="AM23" t="s">
        <v>197</v>
      </c>
    </row>
    <row r="24" spans="1:39" x14ac:dyDescent="0.35">
      <c r="A24" t="s">
        <v>193</v>
      </c>
      <c r="B24">
        <v>9491604</v>
      </c>
      <c r="C24" t="s">
        <v>40</v>
      </c>
      <c r="D24" t="s">
        <v>177</v>
      </c>
      <c r="E24" t="s">
        <v>195</v>
      </c>
      <c r="F24" t="s">
        <v>172</v>
      </c>
      <c r="G24" t="s">
        <v>102</v>
      </c>
      <c r="H24" t="s">
        <v>196</v>
      </c>
      <c r="I24" t="s">
        <v>42</v>
      </c>
      <c r="J24">
        <v>125</v>
      </c>
      <c r="K24">
        <v>0</v>
      </c>
      <c r="L24">
        <v>130</v>
      </c>
      <c r="M24">
        <v>5280</v>
      </c>
      <c r="N24">
        <v>500</v>
      </c>
      <c r="O24">
        <v>55</v>
      </c>
      <c r="P24">
        <v>12.5</v>
      </c>
      <c r="Q24">
        <v>12.5</v>
      </c>
      <c r="R24">
        <v>10.8</v>
      </c>
      <c r="S24">
        <v>394</v>
      </c>
      <c r="T24">
        <v>393</v>
      </c>
      <c r="U24">
        <v>385</v>
      </c>
      <c r="V24">
        <v>396</v>
      </c>
      <c r="W24">
        <v>387</v>
      </c>
      <c r="X24">
        <v>386</v>
      </c>
      <c r="Y24">
        <v>398</v>
      </c>
      <c r="Z24">
        <v>372</v>
      </c>
      <c r="AI24">
        <v>0</v>
      </c>
      <c r="AJ24">
        <v>0</v>
      </c>
      <c r="AK24">
        <v>163.6363636363636</v>
      </c>
      <c r="AL24">
        <v>0</v>
      </c>
      <c r="AM24" t="s">
        <v>198</v>
      </c>
    </row>
    <row r="25" spans="1:39" x14ac:dyDescent="0.35">
      <c r="A25" t="s">
        <v>199</v>
      </c>
      <c r="B25">
        <v>9603594</v>
      </c>
      <c r="C25" t="s">
        <v>40</v>
      </c>
      <c r="D25" t="s">
        <v>178</v>
      </c>
      <c r="E25" t="s">
        <v>102</v>
      </c>
      <c r="F25" t="s">
        <v>176</v>
      </c>
      <c r="G25" t="s">
        <v>102</v>
      </c>
      <c r="H25">
        <v>102</v>
      </c>
      <c r="I25" t="s">
        <v>42</v>
      </c>
      <c r="J25">
        <v>378</v>
      </c>
      <c r="K25">
        <v>0</v>
      </c>
      <c r="L25">
        <v>378</v>
      </c>
      <c r="M25">
        <v>9250</v>
      </c>
      <c r="N25">
        <v>70.2</v>
      </c>
      <c r="O25">
        <v>43</v>
      </c>
      <c r="P25">
        <v>24</v>
      </c>
      <c r="Q25">
        <v>24</v>
      </c>
      <c r="R25">
        <v>40.9</v>
      </c>
      <c r="S25">
        <v>280</v>
      </c>
      <c r="T25">
        <v>302</v>
      </c>
      <c r="U25">
        <v>289</v>
      </c>
      <c r="V25">
        <v>285</v>
      </c>
      <c r="W25">
        <v>294</v>
      </c>
      <c r="X25">
        <v>293</v>
      </c>
      <c r="Y25">
        <v>303</v>
      </c>
      <c r="AI25">
        <v>24</v>
      </c>
      <c r="AJ25">
        <v>410</v>
      </c>
      <c r="AK25">
        <v>184.23423423423421</v>
      </c>
      <c r="AL25">
        <v>1.6621621621621621</v>
      </c>
      <c r="AM25" t="s">
        <v>109</v>
      </c>
    </row>
    <row r="26" spans="1:39" x14ac:dyDescent="0.35">
      <c r="A26" t="s">
        <v>200</v>
      </c>
      <c r="B26">
        <v>9603609</v>
      </c>
      <c r="C26" t="s">
        <v>40</v>
      </c>
      <c r="D26" t="s">
        <v>188</v>
      </c>
      <c r="E26" t="s">
        <v>102</v>
      </c>
      <c r="F26" t="s">
        <v>189</v>
      </c>
      <c r="G26" t="s">
        <v>201</v>
      </c>
      <c r="H26">
        <v>21</v>
      </c>
      <c r="I26" t="s">
        <v>45</v>
      </c>
      <c r="J26">
        <v>245</v>
      </c>
      <c r="K26">
        <v>0</v>
      </c>
      <c r="L26">
        <v>310</v>
      </c>
      <c r="M26">
        <v>5424.28</v>
      </c>
      <c r="N26">
        <v>59.5</v>
      </c>
      <c r="O26">
        <v>25.2</v>
      </c>
      <c r="P26">
        <v>20.399999999999999</v>
      </c>
      <c r="Q26">
        <v>20.399999999999999</v>
      </c>
      <c r="R26">
        <v>23.9</v>
      </c>
      <c r="S26">
        <v>311</v>
      </c>
      <c r="T26">
        <v>310</v>
      </c>
      <c r="U26">
        <v>313</v>
      </c>
      <c r="V26">
        <v>322</v>
      </c>
      <c r="W26">
        <v>296</v>
      </c>
      <c r="X26">
        <v>298</v>
      </c>
      <c r="Y26">
        <v>301</v>
      </c>
      <c r="AI26">
        <v>14.4</v>
      </c>
      <c r="AJ26">
        <v>200</v>
      </c>
      <c r="AK26">
        <v>215.9860161073876</v>
      </c>
      <c r="AL26">
        <v>1.6266729246581491</v>
      </c>
      <c r="AM26" t="s">
        <v>202</v>
      </c>
    </row>
    <row r="27" spans="1:39" x14ac:dyDescent="0.35">
      <c r="A27" t="s">
        <v>200</v>
      </c>
      <c r="B27">
        <v>9603609</v>
      </c>
      <c r="C27" t="s">
        <v>40</v>
      </c>
      <c r="D27" t="s">
        <v>178</v>
      </c>
      <c r="E27" t="s">
        <v>203</v>
      </c>
      <c r="F27" t="s">
        <v>176</v>
      </c>
      <c r="G27" t="s">
        <v>102</v>
      </c>
      <c r="H27">
        <v>21</v>
      </c>
      <c r="I27" t="s">
        <v>45</v>
      </c>
      <c r="J27">
        <v>170</v>
      </c>
      <c r="K27">
        <v>0</v>
      </c>
      <c r="L27">
        <v>239</v>
      </c>
      <c r="M27">
        <v>3558.57</v>
      </c>
      <c r="N27">
        <v>50.3</v>
      </c>
      <c r="O27">
        <v>16.600000000000001</v>
      </c>
      <c r="P27">
        <v>18.600000000000001</v>
      </c>
      <c r="Q27">
        <v>17.5</v>
      </c>
      <c r="R27">
        <v>45.6</v>
      </c>
      <c r="S27">
        <v>246</v>
      </c>
      <c r="T27">
        <v>229</v>
      </c>
      <c r="U27">
        <v>243</v>
      </c>
      <c r="V27">
        <v>253</v>
      </c>
      <c r="W27">
        <v>236</v>
      </c>
      <c r="X27">
        <v>238</v>
      </c>
      <c r="Y27">
        <v>239</v>
      </c>
      <c r="AI27">
        <v>0</v>
      </c>
      <c r="AJ27">
        <v>170</v>
      </c>
      <c r="AK27">
        <v>688.93204383384511</v>
      </c>
      <c r="AL27">
        <v>2.3115483049688228</v>
      </c>
      <c r="AM27" t="s">
        <v>204</v>
      </c>
    </row>
    <row r="28" spans="1:39" x14ac:dyDescent="0.35">
      <c r="A28" t="s">
        <v>200</v>
      </c>
      <c r="B28">
        <v>9603609</v>
      </c>
      <c r="C28" t="s">
        <v>40</v>
      </c>
      <c r="D28" t="s">
        <v>176</v>
      </c>
      <c r="E28" t="s">
        <v>102</v>
      </c>
      <c r="F28" t="s">
        <v>177</v>
      </c>
      <c r="G28" t="s">
        <v>205</v>
      </c>
      <c r="H28">
        <v>21</v>
      </c>
      <c r="I28" t="s">
        <v>45</v>
      </c>
      <c r="J28">
        <v>209</v>
      </c>
      <c r="K28">
        <v>0</v>
      </c>
      <c r="L28">
        <v>273</v>
      </c>
      <c r="M28">
        <v>3908.51</v>
      </c>
      <c r="N28">
        <v>52.6</v>
      </c>
      <c r="O28">
        <v>18.2</v>
      </c>
      <c r="P28">
        <v>20.3</v>
      </c>
      <c r="Q28">
        <v>20.2</v>
      </c>
      <c r="R28">
        <v>16.399999999999999</v>
      </c>
      <c r="S28">
        <v>267</v>
      </c>
      <c r="T28">
        <v>253</v>
      </c>
      <c r="U28">
        <v>270</v>
      </c>
      <c r="V28">
        <v>274</v>
      </c>
      <c r="W28">
        <v>264</v>
      </c>
      <c r="X28">
        <v>264</v>
      </c>
      <c r="Y28">
        <v>256</v>
      </c>
      <c r="AI28">
        <v>0</v>
      </c>
      <c r="AJ28">
        <v>240</v>
      </c>
      <c r="AK28">
        <v>206.69814671038699</v>
      </c>
      <c r="AL28">
        <v>2.72236583472217</v>
      </c>
      <c r="AM28" t="s">
        <v>206</v>
      </c>
    </row>
    <row r="29" spans="1:39" x14ac:dyDescent="0.35">
      <c r="A29" t="s">
        <v>207</v>
      </c>
      <c r="B29">
        <v>9448138</v>
      </c>
      <c r="C29" t="s">
        <v>40</v>
      </c>
      <c r="D29" t="s">
        <v>188</v>
      </c>
      <c r="E29" t="s">
        <v>208</v>
      </c>
      <c r="F29" t="s">
        <v>189</v>
      </c>
      <c r="G29" t="s">
        <v>208</v>
      </c>
      <c r="H29" t="s">
        <v>209</v>
      </c>
      <c r="I29" t="s">
        <v>45</v>
      </c>
      <c r="J29">
        <v>400</v>
      </c>
      <c r="K29">
        <v>0</v>
      </c>
      <c r="L29">
        <v>376.4</v>
      </c>
      <c r="M29">
        <v>6009</v>
      </c>
      <c r="N29">
        <v>100.45</v>
      </c>
      <c r="O29">
        <v>42.25</v>
      </c>
      <c r="P29">
        <v>24</v>
      </c>
      <c r="Q29">
        <v>24</v>
      </c>
      <c r="R29">
        <v>31.5</v>
      </c>
      <c r="S29">
        <v>355</v>
      </c>
      <c r="T29">
        <v>350</v>
      </c>
      <c r="U29">
        <v>350</v>
      </c>
      <c r="V29">
        <v>330</v>
      </c>
      <c r="W29">
        <v>320</v>
      </c>
      <c r="X29">
        <v>350</v>
      </c>
      <c r="Y29">
        <v>330</v>
      </c>
      <c r="Z29">
        <v>325</v>
      </c>
      <c r="AA29">
        <v>340</v>
      </c>
      <c r="AI29">
        <v>1.7</v>
      </c>
      <c r="AJ29">
        <v>170</v>
      </c>
      <c r="AK29">
        <v>218.42236645032449</v>
      </c>
      <c r="AL29">
        <v>1.0609086370444329</v>
      </c>
      <c r="AM29" t="s">
        <v>210</v>
      </c>
    </row>
    <row r="30" spans="1:39" x14ac:dyDescent="0.35">
      <c r="A30" t="s">
        <v>207</v>
      </c>
      <c r="B30">
        <v>9448138</v>
      </c>
      <c r="C30" t="s">
        <v>40</v>
      </c>
      <c r="D30" t="s">
        <v>189</v>
      </c>
      <c r="E30" t="s">
        <v>208</v>
      </c>
      <c r="F30" t="s">
        <v>178</v>
      </c>
      <c r="G30" t="s">
        <v>208</v>
      </c>
      <c r="H30" t="s">
        <v>209</v>
      </c>
      <c r="I30" t="s">
        <v>129</v>
      </c>
      <c r="J30">
        <v>372</v>
      </c>
      <c r="K30">
        <v>1</v>
      </c>
      <c r="L30">
        <v>361.1</v>
      </c>
      <c r="M30">
        <v>6061</v>
      </c>
      <c r="N30">
        <v>100.56</v>
      </c>
      <c r="O30">
        <v>42.62</v>
      </c>
      <c r="P30">
        <v>23</v>
      </c>
      <c r="Q30">
        <v>23</v>
      </c>
      <c r="R30">
        <v>30.1</v>
      </c>
      <c r="S30">
        <v>350</v>
      </c>
      <c r="T30">
        <v>350</v>
      </c>
      <c r="U30">
        <v>350</v>
      </c>
      <c r="V30">
        <v>325</v>
      </c>
      <c r="W30">
        <v>320</v>
      </c>
      <c r="X30">
        <v>350</v>
      </c>
      <c r="Y30">
        <v>330</v>
      </c>
      <c r="Z30">
        <v>320</v>
      </c>
      <c r="AA30">
        <v>345</v>
      </c>
      <c r="AI30">
        <v>0</v>
      </c>
      <c r="AJ30">
        <v>165</v>
      </c>
      <c r="AK30">
        <v>215.92074776009119</v>
      </c>
      <c r="AL30">
        <v>1.06525684526158</v>
      </c>
      <c r="AM30" t="s">
        <v>211</v>
      </c>
    </row>
    <row r="31" spans="1:39" x14ac:dyDescent="0.35">
      <c r="A31" t="s">
        <v>207</v>
      </c>
      <c r="B31">
        <v>9448138</v>
      </c>
      <c r="C31" t="s">
        <v>40</v>
      </c>
      <c r="D31" t="s">
        <v>178</v>
      </c>
      <c r="E31" t="s">
        <v>102</v>
      </c>
      <c r="F31" t="s">
        <v>176</v>
      </c>
      <c r="G31" t="s">
        <v>102</v>
      </c>
      <c r="H31" t="s">
        <v>209</v>
      </c>
      <c r="I31" t="s">
        <v>129</v>
      </c>
      <c r="J31">
        <v>393</v>
      </c>
      <c r="K31">
        <v>0</v>
      </c>
      <c r="L31">
        <v>379</v>
      </c>
      <c r="M31">
        <v>5900</v>
      </c>
      <c r="N31">
        <v>100.72</v>
      </c>
      <c r="O31">
        <v>41.49</v>
      </c>
      <c r="P31">
        <v>24</v>
      </c>
      <c r="Q31">
        <v>24</v>
      </c>
      <c r="R31">
        <v>32.941000000000003</v>
      </c>
      <c r="S31">
        <v>360</v>
      </c>
      <c r="T31">
        <v>345</v>
      </c>
      <c r="U31">
        <v>350</v>
      </c>
      <c r="V31">
        <v>330</v>
      </c>
      <c r="W31">
        <v>320</v>
      </c>
      <c r="X31">
        <v>350</v>
      </c>
      <c r="Y31">
        <v>340</v>
      </c>
      <c r="Z31">
        <v>330</v>
      </c>
      <c r="AA31">
        <v>350</v>
      </c>
      <c r="AI31">
        <v>0.3</v>
      </c>
      <c r="AJ31">
        <v>170</v>
      </c>
      <c r="AK31">
        <v>232.6341807909605</v>
      </c>
      <c r="AL31">
        <v>1.080508474576271</v>
      </c>
      <c r="AM31" t="s">
        <v>212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0DB20-6C3F-471A-A405-A451FE19551E}">
  <dimension ref="A1:AM43"/>
  <sheetViews>
    <sheetView workbookViewId="0">
      <selection activeCell="D19" sqref="D19"/>
    </sheetView>
  </sheetViews>
  <sheetFormatPr defaultRowHeight="14.5" x14ac:dyDescent="0.35"/>
  <sheetData>
    <row r="1" spans="1:39"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36</v>
      </c>
      <c r="AJ1" s="3" t="s">
        <v>37</v>
      </c>
      <c r="AK1" s="3" t="s">
        <v>34</v>
      </c>
      <c r="AL1" s="3" t="s">
        <v>35</v>
      </c>
      <c r="AM1" s="3" t="s">
        <v>38</v>
      </c>
    </row>
    <row r="2" spans="1:39" x14ac:dyDescent="0.35">
      <c r="A2" t="s">
        <v>100</v>
      </c>
      <c r="B2">
        <v>9614103</v>
      </c>
      <c r="C2" t="s">
        <v>47</v>
      </c>
      <c r="D2" t="s">
        <v>101</v>
      </c>
      <c r="E2" t="s">
        <v>102</v>
      </c>
      <c r="F2" t="s">
        <v>101</v>
      </c>
      <c r="G2" t="s">
        <v>103</v>
      </c>
      <c r="I2" t="s">
        <v>45</v>
      </c>
      <c r="K2">
        <v>0</v>
      </c>
      <c r="L2">
        <v>0</v>
      </c>
      <c r="M2">
        <v>0</v>
      </c>
      <c r="O2">
        <v>0</v>
      </c>
      <c r="P2">
        <v>0</v>
      </c>
      <c r="Q2">
        <v>3.8</v>
      </c>
      <c r="R2">
        <v>0</v>
      </c>
      <c r="AI2">
        <v>0</v>
      </c>
      <c r="AJ2">
        <v>0</v>
      </c>
      <c r="AK2">
        <v>0</v>
      </c>
      <c r="AL2">
        <v>0</v>
      </c>
      <c r="AM2" t="s">
        <v>104</v>
      </c>
    </row>
    <row r="3" spans="1:39" x14ac:dyDescent="0.35">
      <c r="A3" t="s">
        <v>100</v>
      </c>
      <c r="B3">
        <v>9614103</v>
      </c>
      <c r="C3" t="s">
        <v>40</v>
      </c>
      <c r="D3" t="s">
        <v>105</v>
      </c>
      <c r="E3" t="s">
        <v>106</v>
      </c>
      <c r="F3" t="s">
        <v>107</v>
      </c>
      <c r="G3" t="s">
        <v>108</v>
      </c>
      <c r="H3">
        <v>2</v>
      </c>
      <c r="I3" t="s">
        <v>45</v>
      </c>
      <c r="J3">
        <v>146</v>
      </c>
      <c r="K3">
        <v>0</v>
      </c>
      <c r="L3">
        <v>146</v>
      </c>
      <c r="M3">
        <v>3850</v>
      </c>
      <c r="N3">
        <v>90.9</v>
      </c>
      <c r="O3">
        <v>40.6</v>
      </c>
      <c r="P3">
        <v>12.7</v>
      </c>
      <c r="Q3">
        <v>12.7</v>
      </c>
      <c r="R3">
        <v>9.11</v>
      </c>
      <c r="S3">
        <v>348</v>
      </c>
      <c r="T3">
        <v>350</v>
      </c>
      <c r="U3">
        <v>349</v>
      </c>
      <c r="V3">
        <v>348</v>
      </c>
      <c r="W3">
        <v>349</v>
      </c>
      <c r="X3">
        <v>350</v>
      </c>
      <c r="AI3">
        <v>0</v>
      </c>
      <c r="AJ3">
        <v>48</v>
      </c>
      <c r="AK3">
        <v>186.3176193884855</v>
      </c>
      <c r="AL3">
        <v>0.88352592289600163</v>
      </c>
      <c r="AM3" t="s">
        <v>109</v>
      </c>
    </row>
    <row r="4" spans="1:39" x14ac:dyDescent="0.35">
      <c r="A4" t="s">
        <v>110</v>
      </c>
      <c r="B4">
        <v>9672040</v>
      </c>
      <c r="C4" t="s">
        <v>40</v>
      </c>
      <c r="D4" t="s">
        <v>111</v>
      </c>
      <c r="E4" t="s">
        <v>102</v>
      </c>
      <c r="F4" t="s">
        <v>112</v>
      </c>
      <c r="G4" t="s">
        <v>102</v>
      </c>
      <c r="H4" t="s">
        <v>113</v>
      </c>
      <c r="I4" t="s">
        <v>45</v>
      </c>
      <c r="J4">
        <v>315</v>
      </c>
      <c r="K4">
        <v>0</v>
      </c>
      <c r="L4">
        <v>296</v>
      </c>
      <c r="M4">
        <v>3961</v>
      </c>
      <c r="N4">
        <v>60.71</v>
      </c>
      <c r="O4">
        <v>47</v>
      </c>
      <c r="P4">
        <v>24</v>
      </c>
      <c r="Q4">
        <v>24</v>
      </c>
      <c r="R4">
        <v>16.7</v>
      </c>
      <c r="S4">
        <v>325</v>
      </c>
      <c r="T4">
        <v>295</v>
      </c>
      <c r="U4">
        <v>302</v>
      </c>
      <c r="V4">
        <v>291</v>
      </c>
      <c r="W4">
        <v>309</v>
      </c>
      <c r="AI4">
        <v>24</v>
      </c>
      <c r="AJ4">
        <v>92</v>
      </c>
      <c r="AK4">
        <v>175.67112681982661</v>
      </c>
      <c r="AL4">
        <v>0.87099217369351178</v>
      </c>
      <c r="AM4" t="s">
        <v>114</v>
      </c>
    </row>
    <row r="5" spans="1:39" x14ac:dyDescent="0.35">
      <c r="A5" t="s">
        <v>110</v>
      </c>
      <c r="B5">
        <v>9672040</v>
      </c>
      <c r="C5" t="s">
        <v>49</v>
      </c>
      <c r="D5" t="s">
        <v>115</v>
      </c>
      <c r="E5" t="s">
        <v>116</v>
      </c>
      <c r="F5" t="s">
        <v>115</v>
      </c>
      <c r="G5" t="s">
        <v>117</v>
      </c>
      <c r="H5" t="s">
        <v>113</v>
      </c>
      <c r="I5" t="s">
        <v>45</v>
      </c>
      <c r="J5">
        <v>13</v>
      </c>
      <c r="K5">
        <v>0</v>
      </c>
      <c r="L5">
        <v>13</v>
      </c>
      <c r="M5">
        <v>1707.8</v>
      </c>
      <c r="N5">
        <v>39.25</v>
      </c>
      <c r="O5">
        <v>20</v>
      </c>
      <c r="P5">
        <v>5</v>
      </c>
      <c r="Q5">
        <v>5</v>
      </c>
      <c r="R5">
        <v>1.5</v>
      </c>
      <c r="AI5">
        <v>5</v>
      </c>
      <c r="AJ5">
        <v>12</v>
      </c>
      <c r="AK5">
        <v>175.66459772807119</v>
      </c>
      <c r="AL5">
        <v>1.2647851036421129</v>
      </c>
      <c r="AM5" t="s">
        <v>118</v>
      </c>
    </row>
    <row r="6" spans="1:39" x14ac:dyDescent="0.35">
      <c r="A6" t="s">
        <v>110</v>
      </c>
      <c r="B6">
        <v>9672040</v>
      </c>
      <c r="C6" t="s">
        <v>54</v>
      </c>
      <c r="D6" t="s">
        <v>119</v>
      </c>
      <c r="E6" t="s">
        <v>120</v>
      </c>
      <c r="F6" t="s">
        <v>119</v>
      </c>
      <c r="G6" t="s">
        <v>121</v>
      </c>
      <c r="H6" t="s">
        <v>113</v>
      </c>
      <c r="I6" t="s">
        <v>45</v>
      </c>
      <c r="J6">
        <v>5</v>
      </c>
      <c r="K6">
        <v>0</v>
      </c>
      <c r="L6">
        <v>5</v>
      </c>
      <c r="M6">
        <v>2277.1</v>
      </c>
      <c r="N6">
        <v>32</v>
      </c>
      <c r="O6">
        <v>26.7</v>
      </c>
      <c r="P6">
        <v>5</v>
      </c>
      <c r="Q6">
        <v>1</v>
      </c>
      <c r="R6">
        <v>0.4</v>
      </c>
      <c r="AI6">
        <v>4.5</v>
      </c>
      <c r="AJ6">
        <v>4</v>
      </c>
      <c r="AK6">
        <v>35.132405252294582</v>
      </c>
      <c r="AL6">
        <v>0.31619164727065119</v>
      </c>
      <c r="AM6" t="s">
        <v>122</v>
      </c>
    </row>
    <row r="7" spans="1:39" x14ac:dyDescent="0.35">
      <c r="A7" t="s">
        <v>110</v>
      </c>
      <c r="B7">
        <v>9672040</v>
      </c>
      <c r="C7" t="s">
        <v>49</v>
      </c>
      <c r="D7" t="s">
        <v>105</v>
      </c>
      <c r="E7" t="s">
        <v>123</v>
      </c>
      <c r="F7" t="s">
        <v>105</v>
      </c>
      <c r="G7" t="s">
        <v>124</v>
      </c>
      <c r="H7" t="s">
        <v>113</v>
      </c>
      <c r="I7" t="s">
        <v>45</v>
      </c>
      <c r="J7">
        <v>10</v>
      </c>
      <c r="K7">
        <v>0</v>
      </c>
      <c r="L7">
        <v>10</v>
      </c>
      <c r="M7">
        <v>189.7</v>
      </c>
      <c r="N7">
        <v>11.6</v>
      </c>
      <c r="O7">
        <v>2.23</v>
      </c>
      <c r="P7">
        <v>6</v>
      </c>
      <c r="Q7">
        <v>6</v>
      </c>
      <c r="R7">
        <v>0.2</v>
      </c>
      <c r="AI7">
        <v>6</v>
      </c>
      <c r="AJ7">
        <v>10</v>
      </c>
      <c r="AK7">
        <v>175.7160428747145</v>
      </c>
      <c r="AL7">
        <v>7.9072219293621524</v>
      </c>
      <c r="AM7" t="s">
        <v>125</v>
      </c>
    </row>
    <row r="8" spans="1:39" x14ac:dyDescent="0.35">
      <c r="A8" t="s">
        <v>110</v>
      </c>
      <c r="B8">
        <v>9672040</v>
      </c>
      <c r="C8" t="s">
        <v>126</v>
      </c>
      <c r="D8" t="s">
        <v>105</v>
      </c>
      <c r="E8" t="s">
        <v>102</v>
      </c>
      <c r="F8" t="s">
        <v>105</v>
      </c>
      <c r="G8" t="s">
        <v>127</v>
      </c>
      <c r="H8" t="s">
        <v>113</v>
      </c>
      <c r="I8" t="s">
        <v>45</v>
      </c>
      <c r="J8">
        <v>0</v>
      </c>
      <c r="K8">
        <v>0</v>
      </c>
      <c r="L8">
        <v>0</v>
      </c>
      <c r="M8">
        <v>0</v>
      </c>
      <c r="O8">
        <v>0</v>
      </c>
      <c r="P8">
        <v>0</v>
      </c>
      <c r="Q8">
        <v>7</v>
      </c>
      <c r="R8">
        <v>0</v>
      </c>
      <c r="AI8">
        <v>7</v>
      </c>
      <c r="AJ8">
        <v>0</v>
      </c>
      <c r="AK8">
        <v>0</v>
      </c>
      <c r="AL8">
        <v>0</v>
      </c>
      <c r="AM8" t="s">
        <v>128</v>
      </c>
    </row>
    <row r="9" spans="1:39" x14ac:dyDescent="0.35">
      <c r="A9" t="s">
        <v>65</v>
      </c>
      <c r="B9">
        <v>9436111</v>
      </c>
      <c r="C9" t="s">
        <v>40</v>
      </c>
      <c r="D9" t="s">
        <v>111</v>
      </c>
      <c r="E9" t="s">
        <v>102</v>
      </c>
      <c r="F9" t="s">
        <v>112</v>
      </c>
      <c r="G9" t="s">
        <v>102</v>
      </c>
      <c r="H9">
        <v>32</v>
      </c>
      <c r="I9" t="s">
        <v>129</v>
      </c>
      <c r="J9">
        <v>270</v>
      </c>
      <c r="K9">
        <v>0</v>
      </c>
      <c r="L9">
        <v>272</v>
      </c>
      <c r="M9">
        <v>4784</v>
      </c>
      <c r="N9">
        <v>93</v>
      </c>
      <c r="O9">
        <v>68</v>
      </c>
      <c r="P9">
        <v>24</v>
      </c>
      <c r="Q9">
        <v>24</v>
      </c>
      <c r="R9">
        <v>21.3</v>
      </c>
      <c r="S9">
        <v>344</v>
      </c>
      <c r="T9">
        <v>349</v>
      </c>
      <c r="U9">
        <v>348</v>
      </c>
      <c r="V9">
        <v>347</v>
      </c>
      <c r="W9">
        <v>348</v>
      </c>
      <c r="X9">
        <v>348</v>
      </c>
      <c r="AI9">
        <v>24</v>
      </c>
      <c r="AJ9">
        <v>113</v>
      </c>
      <c r="AK9">
        <v>185.5142140468227</v>
      </c>
      <c r="AL9">
        <v>0.88576505016722407</v>
      </c>
      <c r="AM9" t="s">
        <v>109</v>
      </c>
    </row>
    <row r="10" spans="1:39" x14ac:dyDescent="0.35">
      <c r="A10" t="s">
        <v>65</v>
      </c>
      <c r="B10">
        <v>9436111</v>
      </c>
      <c r="C10" t="s">
        <v>40</v>
      </c>
      <c r="D10" t="s">
        <v>112</v>
      </c>
      <c r="E10" t="s">
        <v>102</v>
      </c>
      <c r="F10" t="s">
        <v>101</v>
      </c>
      <c r="G10" t="s">
        <v>102</v>
      </c>
      <c r="H10">
        <v>32</v>
      </c>
      <c r="I10" t="s">
        <v>130</v>
      </c>
      <c r="J10">
        <v>265</v>
      </c>
      <c r="K10">
        <v>1</v>
      </c>
      <c r="L10">
        <v>259</v>
      </c>
      <c r="M10">
        <v>4840</v>
      </c>
      <c r="N10">
        <v>94</v>
      </c>
      <c r="O10">
        <v>68</v>
      </c>
      <c r="P10">
        <v>23</v>
      </c>
      <c r="Q10">
        <v>23</v>
      </c>
      <c r="R10">
        <v>22</v>
      </c>
      <c r="S10">
        <v>346</v>
      </c>
      <c r="T10">
        <v>348</v>
      </c>
      <c r="U10">
        <v>348</v>
      </c>
      <c r="V10">
        <v>347</v>
      </c>
      <c r="W10">
        <v>347</v>
      </c>
      <c r="X10">
        <v>348</v>
      </c>
      <c r="AI10">
        <v>23</v>
      </c>
      <c r="AJ10">
        <v>107</v>
      </c>
      <c r="AK10">
        <v>197.62845849802369</v>
      </c>
      <c r="AL10">
        <v>0.86507366151634923</v>
      </c>
      <c r="AM10" t="s">
        <v>109</v>
      </c>
    </row>
    <row r="11" spans="1:39" x14ac:dyDescent="0.35">
      <c r="A11" t="s">
        <v>65</v>
      </c>
      <c r="B11">
        <v>9436111</v>
      </c>
      <c r="C11" t="s">
        <v>40</v>
      </c>
      <c r="D11" t="s">
        <v>101</v>
      </c>
      <c r="E11" t="s">
        <v>102</v>
      </c>
      <c r="F11" t="s">
        <v>115</v>
      </c>
      <c r="G11" t="s">
        <v>102</v>
      </c>
      <c r="H11">
        <v>32</v>
      </c>
      <c r="I11" t="s">
        <v>130</v>
      </c>
      <c r="J11">
        <v>284</v>
      </c>
      <c r="K11">
        <v>0</v>
      </c>
      <c r="L11">
        <v>273</v>
      </c>
      <c r="M11">
        <v>4820</v>
      </c>
      <c r="N11">
        <v>94</v>
      </c>
      <c r="O11">
        <v>68</v>
      </c>
      <c r="P11">
        <v>24</v>
      </c>
      <c r="Q11">
        <v>24</v>
      </c>
      <c r="R11">
        <v>22.5</v>
      </c>
      <c r="S11">
        <v>343</v>
      </c>
      <c r="T11">
        <v>346</v>
      </c>
      <c r="U11">
        <v>344</v>
      </c>
      <c r="V11">
        <v>347</v>
      </c>
      <c r="W11">
        <v>344</v>
      </c>
      <c r="X11">
        <v>346</v>
      </c>
      <c r="AI11">
        <v>24</v>
      </c>
      <c r="AJ11">
        <v>113</v>
      </c>
      <c r="AK11">
        <v>194.50207468879671</v>
      </c>
      <c r="AL11">
        <v>0.87914937759336098</v>
      </c>
      <c r="AM11" t="s">
        <v>109</v>
      </c>
    </row>
    <row r="12" spans="1:39" x14ac:dyDescent="0.35">
      <c r="A12" t="s">
        <v>65</v>
      </c>
      <c r="B12">
        <v>9436111</v>
      </c>
      <c r="C12" t="s">
        <v>40</v>
      </c>
      <c r="D12" t="s">
        <v>115</v>
      </c>
      <c r="E12" t="s">
        <v>102</v>
      </c>
      <c r="F12" t="s">
        <v>119</v>
      </c>
      <c r="G12" t="s">
        <v>102</v>
      </c>
      <c r="H12">
        <v>32</v>
      </c>
      <c r="I12" t="s">
        <v>130</v>
      </c>
      <c r="J12">
        <v>309</v>
      </c>
      <c r="K12">
        <v>0</v>
      </c>
      <c r="L12">
        <v>280</v>
      </c>
      <c r="M12">
        <v>4780</v>
      </c>
      <c r="N12">
        <v>94</v>
      </c>
      <c r="O12">
        <v>68</v>
      </c>
      <c r="P12">
        <v>24</v>
      </c>
      <c r="Q12">
        <v>24</v>
      </c>
      <c r="R12">
        <v>22</v>
      </c>
      <c r="S12">
        <v>344</v>
      </c>
      <c r="T12">
        <v>347</v>
      </c>
      <c r="U12">
        <v>342</v>
      </c>
      <c r="V12">
        <v>348</v>
      </c>
      <c r="W12">
        <v>344</v>
      </c>
      <c r="X12">
        <v>348</v>
      </c>
      <c r="AI12">
        <v>18</v>
      </c>
      <c r="AJ12">
        <v>111</v>
      </c>
      <c r="AK12">
        <v>191.7712691771269</v>
      </c>
      <c r="AL12">
        <v>0.87081589958159</v>
      </c>
      <c r="AM12" t="s">
        <v>109</v>
      </c>
    </row>
    <row r="13" spans="1:39" x14ac:dyDescent="0.35">
      <c r="A13" t="s">
        <v>65</v>
      </c>
      <c r="B13">
        <v>9436111</v>
      </c>
      <c r="C13" t="s">
        <v>40</v>
      </c>
      <c r="D13" t="s">
        <v>119</v>
      </c>
      <c r="E13" t="s">
        <v>102</v>
      </c>
      <c r="F13" t="s">
        <v>105</v>
      </c>
      <c r="G13" t="s">
        <v>102</v>
      </c>
      <c r="H13">
        <v>32</v>
      </c>
      <c r="I13" t="s">
        <v>130</v>
      </c>
      <c r="J13">
        <v>282</v>
      </c>
      <c r="K13">
        <v>0</v>
      </c>
      <c r="L13">
        <v>268</v>
      </c>
      <c r="M13">
        <v>4680</v>
      </c>
      <c r="N13">
        <v>93</v>
      </c>
      <c r="O13">
        <v>67</v>
      </c>
      <c r="P13">
        <v>24</v>
      </c>
      <c r="Q13">
        <v>24</v>
      </c>
      <c r="R13">
        <v>21.5</v>
      </c>
      <c r="S13">
        <v>345</v>
      </c>
      <c r="T13">
        <v>343</v>
      </c>
      <c r="U13">
        <v>346</v>
      </c>
      <c r="V13">
        <v>345</v>
      </c>
      <c r="W13">
        <v>344</v>
      </c>
      <c r="X13">
        <v>347</v>
      </c>
      <c r="AI13">
        <v>0</v>
      </c>
      <c r="AJ13">
        <v>110</v>
      </c>
      <c r="AK13">
        <v>191.4173789173789</v>
      </c>
      <c r="AL13">
        <v>0.88141025641025639</v>
      </c>
      <c r="AM13" t="s">
        <v>109</v>
      </c>
    </row>
    <row r="14" spans="1:39" x14ac:dyDescent="0.35">
      <c r="A14" t="s">
        <v>65</v>
      </c>
      <c r="B14">
        <v>9436111</v>
      </c>
      <c r="C14" t="s">
        <v>40</v>
      </c>
      <c r="D14" t="s">
        <v>105</v>
      </c>
      <c r="E14" t="s">
        <v>102</v>
      </c>
      <c r="F14" t="s">
        <v>107</v>
      </c>
      <c r="G14" t="s">
        <v>102</v>
      </c>
      <c r="H14">
        <v>32</v>
      </c>
      <c r="I14" t="s">
        <v>130</v>
      </c>
      <c r="J14">
        <v>236</v>
      </c>
      <c r="K14">
        <v>0</v>
      </c>
      <c r="L14">
        <v>272</v>
      </c>
      <c r="M14">
        <v>4710</v>
      </c>
      <c r="N14">
        <v>94</v>
      </c>
      <c r="O14">
        <v>68</v>
      </c>
      <c r="P14">
        <v>24</v>
      </c>
      <c r="Q14">
        <v>24</v>
      </c>
      <c r="R14">
        <v>21.3</v>
      </c>
      <c r="S14">
        <v>347</v>
      </c>
      <c r="T14">
        <v>345</v>
      </c>
      <c r="U14">
        <v>344</v>
      </c>
      <c r="V14">
        <v>346</v>
      </c>
      <c r="W14">
        <v>344</v>
      </c>
      <c r="X14">
        <v>347</v>
      </c>
      <c r="AI14">
        <v>20</v>
      </c>
      <c r="AJ14">
        <v>113</v>
      </c>
      <c r="AK14">
        <v>188.42887473460721</v>
      </c>
      <c r="AL14">
        <v>0.89968152866242035</v>
      </c>
      <c r="AM14" t="s">
        <v>109</v>
      </c>
    </row>
    <row r="15" spans="1:39" x14ac:dyDescent="0.35">
      <c r="A15" t="s">
        <v>65</v>
      </c>
      <c r="B15">
        <v>9436111</v>
      </c>
      <c r="C15" t="s">
        <v>40</v>
      </c>
      <c r="D15" t="s">
        <v>107</v>
      </c>
      <c r="E15" t="s">
        <v>102</v>
      </c>
      <c r="F15" t="s">
        <v>131</v>
      </c>
      <c r="G15" t="s">
        <v>102</v>
      </c>
      <c r="H15">
        <v>32</v>
      </c>
      <c r="I15" t="s">
        <v>66</v>
      </c>
      <c r="J15">
        <v>249</v>
      </c>
      <c r="K15">
        <v>1</v>
      </c>
      <c r="L15">
        <v>256</v>
      </c>
      <c r="M15">
        <v>4680</v>
      </c>
      <c r="N15">
        <v>93</v>
      </c>
      <c r="O15">
        <v>67</v>
      </c>
      <c r="P15">
        <v>23</v>
      </c>
      <c r="Q15">
        <v>23</v>
      </c>
      <c r="R15">
        <v>20.399999999999999</v>
      </c>
      <c r="S15">
        <v>345</v>
      </c>
      <c r="T15">
        <v>346</v>
      </c>
      <c r="U15">
        <v>344</v>
      </c>
      <c r="V15">
        <v>348</v>
      </c>
      <c r="W15">
        <v>345</v>
      </c>
      <c r="X15">
        <v>347</v>
      </c>
      <c r="AI15">
        <v>23</v>
      </c>
      <c r="AJ15">
        <v>110</v>
      </c>
      <c r="AK15">
        <v>189.52062430323301</v>
      </c>
      <c r="AL15">
        <v>0.91973244147157196</v>
      </c>
      <c r="AM15" t="s">
        <v>109</v>
      </c>
    </row>
    <row r="16" spans="1:39" x14ac:dyDescent="0.35">
      <c r="A16" t="s">
        <v>69</v>
      </c>
      <c r="B16">
        <v>9634672</v>
      </c>
      <c r="C16" t="s">
        <v>40</v>
      </c>
      <c r="D16" t="s">
        <v>111</v>
      </c>
      <c r="E16" t="s">
        <v>102</v>
      </c>
      <c r="F16" t="s">
        <v>112</v>
      </c>
      <c r="G16" t="s">
        <v>102</v>
      </c>
      <c r="H16">
        <v>1</v>
      </c>
      <c r="I16" t="s">
        <v>129</v>
      </c>
      <c r="J16">
        <v>346</v>
      </c>
      <c r="K16">
        <v>1</v>
      </c>
      <c r="L16">
        <v>403</v>
      </c>
      <c r="M16">
        <v>6235.2</v>
      </c>
      <c r="N16">
        <v>86</v>
      </c>
      <c r="O16">
        <v>42.9</v>
      </c>
      <c r="P16">
        <v>25</v>
      </c>
      <c r="Q16">
        <v>23</v>
      </c>
      <c r="R16">
        <v>34.020000000000003</v>
      </c>
      <c r="S16">
        <v>394</v>
      </c>
      <c r="T16">
        <v>388</v>
      </c>
      <c r="U16">
        <v>385</v>
      </c>
      <c r="V16">
        <v>382</v>
      </c>
      <c r="W16">
        <v>415</v>
      </c>
      <c r="X16">
        <v>405</v>
      </c>
      <c r="AI16">
        <v>0</v>
      </c>
      <c r="AJ16">
        <v>95</v>
      </c>
      <c r="AK16">
        <v>218.2448036951501</v>
      </c>
      <c r="AL16">
        <v>0.5484988452655889</v>
      </c>
      <c r="AM16" t="s">
        <v>132</v>
      </c>
    </row>
    <row r="17" spans="1:39" x14ac:dyDescent="0.35">
      <c r="A17" t="s">
        <v>69</v>
      </c>
      <c r="B17">
        <v>9634672</v>
      </c>
      <c r="C17" t="s">
        <v>40</v>
      </c>
      <c r="D17" t="s">
        <v>112</v>
      </c>
      <c r="E17" t="s">
        <v>102</v>
      </c>
      <c r="F17" t="s">
        <v>101</v>
      </c>
      <c r="G17" t="s">
        <v>102</v>
      </c>
      <c r="H17">
        <v>1</v>
      </c>
      <c r="I17" t="s">
        <v>129</v>
      </c>
      <c r="J17">
        <v>319</v>
      </c>
      <c r="K17">
        <v>0</v>
      </c>
      <c r="L17">
        <v>370</v>
      </c>
      <c r="M17">
        <v>6350.7</v>
      </c>
      <c r="N17">
        <v>86.5</v>
      </c>
      <c r="O17">
        <v>43.7</v>
      </c>
      <c r="P17">
        <v>24</v>
      </c>
      <c r="Q17">
        <v>24</v>
      </c>
      <c r="R17">
        <v>33.5</v>
      </c>
      <c r="S17">
        <v>402</v>
      </c>
      <c r="T17">
        <v>396</v>
      </c>
      <c r="U17">
        <v>386</v>
      </c>
      <c r="V17">
        <v>380</v>
      </c>
      <c r="W17">
        <v>411</v>
      </c>
      <c r="X17">
        <v>410</v>
      </c>
      <c r="AI17">
        <v>1</v>
      </c>
      <c r="AJ17">
        <v>105</v>
      </c>
      <c r="AK17">
        <v>219.79204392166741</v>
      </c>
      <c r="AL17">
        <v>0.62001039255515145</v>
      </c>
      <c r="AM17" t="s">
        <v>133</v>
      </c>
    </row>
    <row r="18" spans="1:39" x14ac:dyDescent="0.35">
      <c r="A18" t="s">
        <v>69</v>
      </c>
      <c r="B18">
        <v>9634672</v>
      </c>
      <c r="C18" t="s">
        <v>40</v>
      </c>
      <c r="D18" t="s">
        <v>101</v>
      </c>
      <c r="E18" t="s">
        <v>102</v>
      </c>
      <c r="F18" t="s">
        <v>115</v>
      </c>
      <c r="G18" t="s">
        <v>134</v>
      </c>
      <c r="H18">
        <v>1</v>
      </c>
      <c r="I18" t="s">
        <v>129</v>
      </c>
      <c r="J18">
        <v>202</v>
      </c>
      <c r="K18">
        <v>0</v>
      </c>
      <c r="L18">
        <v>238.5</v>
      </c>
      <c r="M18">
        <v>6489.6</v>
      </c>
      <c r="N18">
        <v>87.2</v>
      </c>
      <c r="O18">
        <v>44.7</v>
      </c>
      <c r="P18">
        <v>14.5</v>
      </c>
      <c r="Q18">
        <v>14.5</v>
      </c>
      <c r="R18">
        <v>1.25</v>
      </c>
      <c r="S18">
        <v>405</v>
      </c>
      <c r="T18">
        <v>400</v>
      </c>
      <c r="U18">
        <v>390</v>
      </c>
      <c r="V18">
        <v>380</v>
      </c>
      <c r="W18">
        <v>411</v>
      </c>
      <c r="X18">
        <v>410</v>
      </c>
      <c r="AI18">
        <v>4.7</v>
      </c>
      <c r="AJ18">
        <v>22</v>
      </c>
      <c r="AK18">
        <v>13.28385363531252</v>
      </c>
      <c r="AL18">
        <v>0.21041624158335029</v>
      </c>
      <c r="AM18" t="s">
        <v>135</v>
      </c>
    </row>
    <row r="19" spans="1:39" x14ac:dyDescent="0.35">
      <c r="A19" t="s">
        <v>69</v>
      </c>
      <c r="B19">
        <v>9634672</v>
      </c>
      <c r="C19" t="s">
        <v>40</v>
      </c>
      <c r="D19" t="s">
        <v>119</v>
      </c>
      <c r="E19" t="s">
        <v>102</v>
      </c>
      <c r="F19" t="s">
        <v>105</v>
      </c>
      <c r="G19" t="s">
        <v>102</v>
      </c>
      <c r="H19">
        <v>1</v>
      </c>
      <c r="I19" t="s">
        <v>129</v>
      </c>
      <c r="J19">
        <v>339</v>
      </c>
      <c r="K19">
        <v>0</v>
      </c>
      <c r="L19">
        <v>394</v>
      </c>
      <c r="M19">
        <v>5714.3</v>
      </c>
      <c r="N19">
        <v>83.5</v>
      </c>
      <c r="O19">
        <v>39.4</v>
      </c>
      <c r="P19">
        <v>24</v>
      </c>
      <c r="Q19">
        <v>24</v>
      </c>
      <c r="R19">
        <v>34</v>
      </c>
      <c r="S19">
        <v>409</v>
      </c>
      <c r="T19">
        <v>400</v>
      </c>
      <c r="U19">
        <v>393</v>
      </c>
      <c r="V19">
        <v>384</v>
      </c>
      <c r="W19">
        <v>418</v>
      </c>
      <c r="X19">
        <v>421</v>
      </c>
      <c r="AI19">
        <v>0</v>
      </c>
      <c r="AJ19">
        <v>110</v>
      </c>
      <c r="AK19">
        <v>247.91604687654939</v>
      </c>
      <c r="AL19">
        <v>0.72187319531701166</v>
      </c>
      <c r="AM19" t="s">
        <v>136</v>
      </c>
    </row>
    <row r="20" spans="1:39" x14ac:dyDescent="0.35">
      <c r="A20" t="s">
        <v>69</v>
      </c>
      <c r="B20">
        <v>9634672</v>
      </c>
      <c r="C20" t="s">
        <v>40</v>
      </c>
      <c r="D20" t="s">
        <v>105</v>
      </c>
      <c r="E20" t="s">
        <v>102</v>
      </c>
      <c r="F20" t="s">
        <v>107</v>
      </c>
      <c r="G20" t="s">
        <v>102</v>
      </c>
      <c r="H20">
        <v>1</v>
      </c>
      <c r="I20" t="s">
        <v>129</v>
      </c>
      <c r="J20">
        <v>376</v>
      </c>
      <c r="K20">
        <v>0</v>
      </c>
      <c r="L20">
        <v>418</v>
      </c>
      <c r="M20">
        <v>8333.2999999999993</v>
      </c>
      <c r="N20">
        <v>86</v>
      </c>
      <c r="O20">
        <v>42.9</v>
      </c>
      <c r="P20">
        <v>24</v>
      </c>
      <c r="Q20">
        <v>24</v>
      </c>
      <c r="R20">
        <v>36</v>
      </c>
      <c r="S20">
        <v>409</v>
      </c>
      <c r="T20">
        <v>402</v>
      </c>
      <c r="U20">
        <v>392</v>
      </c>
      <c r="V20">
        <v>379</v>
      </c>
      <c r="W20">
        <v>417</v>
      </c>
      <c r="X20">
        <v>426</v>
      </c>
      <c r="AI20">
        <v>0</v>
      </c>
      <c r="AJ20">
        <v>110</v>
      </c>
      <c r="AK20">
        <v>180.00072000288</v>
      </c>
      <c r="AL20">
        <v>0.49500198000792012</v>
      </c>
      <c r="AM20" t="s">
        <v>137</v>
      </c>
    </row>
    <row r="21" spans="1:39" x14ac:dyDescent="0.35">
      <c r="A21" t="s">
        <v>69</v>
      </c>
      <c r="B21">
        <v>9634672</v>
      </c>
      <c r="C21" t="s">
        <v>40</v>
      </c>
      <c r="D21" t="s">
        <v>107</v>
      </c>
      <c r="E21" t="s">
        <v>102</v>
      </c>
      <c r="F21" t="s">
        <v>131</v>
      </c>
      <c r="G21" t="s">
        <v>138</v>
      </c>
      <c r="H21">
        <v>1</v>
      </c>
      <c r="I21" t="s">
        <v>139</v>
      </c>
      <c r="J21">
        <v>317</v>
      </c>
      <c r="K21">
        <v>0.5</v>
      </c>
      <c r="L21">
        <v>370</v>
      </c>
      <c r="M21">
        <v>5129.7</v>
      </c>
      <c r="N21">
        <v>80.599999999999994</v>
      </c>
      <c r="O21">
        <v>35.299999999999997</v>
      </c>
      <c r="P21">
        <v>21.8</v>
      </c>
      <c r="Q21">
        <v>21.8</v>
      </c>
      <c r="R21">
        <v>28.4</v>
      </c>
      <c r="S21">
        <v>406</v>
      </c>
      <c r="T21">
        <v>400</v>
      </c>
      <c r="U21">
        <v>390</v>
      </c>
      <c r="V21">
        <v>377</v>
      </c>
      <c r="W21">
        <v>413</v>
      </c>
      <c r="X21">
        <v>420</v>
      </c>
      <c r="AI21">
        <v>0</v>
      </c>
      <c r="AJ21">
        <v>90</v>
      </c>
      <c r="AK21">
        <v>253.96266713023789</v>
      </c>
      <c r="AL21">
        <v>0.72433014216722791</v>
      </c>
      <c r="AM21" t="s">
        <v>140</v>
      </c>
    </row>
    <row r="22" spans="1:39" x14ac:dyDescent="0.35">
      <c r="A22" t="s">
        <v>74</v>
      </c>
      <c r="B22">
        <v>9464314</v>
      </c>
      <c r="C22" t="s">
        <v>40</v>
      </c>
      <c r="D22" t="s">
        <v>111</v>
      </c>
      <c r="E22" t="s">
        <v>141</v>
      </c>
      <c r="F22" t="s">
        <v>112</v>
      </c>
      <c r="G22" t="s">
        <v>102</v>
      </c>
      <c r="H22" t="s">
        <v>75</v>
      </c>
      <c r="I22" t="s">
        <v>139</v>
      </c>
      <c r="J22">
        <v>321</v>
      </c>
      <c r="K22">
        <v>0</v>
      </c>
      <c r="L22">
        <v>303</v>
      </c>
      <c r="M22">
        <v>16633</v>
      </c>
      <c r="N22">
        <v>75</v>
      </c>
      <c r="O22">
        <v>46</v>
      </c>
      <c r="P22">
        <v>21.7</v>
      </c>
      <c r="Q22">
        <v>21.7</v>
      </c>
      <c r="R22">
        <v>64</v>
      </c>
      <c r="S22">
        <v>363</v>
      </c>
      <c r="T22">
        <v>410</v>
      </c>
      <c r="U22">
        <v>393</v>
      </c>
      <c r="V22">
        <v>376</v>
      </c>
      <c r="W22">
        <v>393</v>
      </c>
      <c r="X22">
        <v>365</v>
      </c>
      <c r="Y22">
        <v>370</v>
      </c>
      <c r="Z22">
        <v>383</v>
      </c>
      <c r="AI22">
        <v>0</v>
      </c>
      <c r="AJ22">
        <v>430</v>
      </c>
      <c r="AK22">
        <v>177.31670508990371</v>
      </c>
      <c r="AL22">
        <v>1.0722119510905119</v>
      </c>
      <c r="AM22" t="s">
        <v>109</v>
      </c>
    </row>
    <row r="23" spans="1:39" x14ac:dyDescent="0.35">
      <c r="A23" t="s">
        <v>74</v>
      </c>
      <c r="B23">
        <v>9464314</v>
      </c>
      <c r="C23" t="s">
        <v>40</v>
      </c>
      <c r="D23" t="s">
        <v>112</v>
      </c>
      <c r="E23" t="s">
        <v>102</v>
      </c>
      <c r="F23" t="s">
        <v>101</v>
      </c>
      <c r="G23" t="s">
        <v>102</v>
      </c>
      <c r="H23" t="s">
        <v>142</v>
      </c>
      <c r="I23" t="s">
        <v>143</v>
      </c>
      <c r="J23">
        <v>336</v>
      </c>
      <c r="K23">
        <v>-1</v>
      </c>
      <c r="L23">
        <v>321</v>
      </c>
      <c r="M23">
        <v>14464</v>
      </c>
      <c r="N23">
        <v>69</v>
      </c>
      <c r="O23">
        <v>46</v>
      </c>
      <c r="P23">
        <v>25</v>
      </c>
      <c r="Q23">
        <v>25</v>
      </c>
      <c r="R23">
        <v>65</v>
      </c>
      <c r="S23">
        <v>368</v>
      </c>
      <c r="T23">
        <v>410</v>
      </c>
      <c r="U23">
        <v>410</v>
      </c>
      <c r="V23">
        <v>408</v>
      </c>
      <c r="W23">
        <v>408</v>
      </c>
      <c r="X23">
        <v>390</v>
      </c>
      <c r="Y23">
        <v>389</v>
      </c>
      <c r="Z23">
        <v>410</v>
      </c>
      <c r="AI23">
        <v>0</v>
      </c>
      <c r="AJ23">
        <v>440</v>
      </c>
      <c r="AK23">
        <v>179.75663716814159</v>
      </c>
      <c r="AL23">
        <v>1.095132743362832</v>
      </c>
      <c r="AM23" t="s">
        <v>109</v>
      </c>
    </row>
    <row r="24" spans="1:39" x14ac:dyDescent="0.35">
      <c r="A24" t="s">
        <v>74</v>
      </c>
      <c r="B24">
        <v>9464314</v>
      </c>
      <c r="C24" t="s">
        <v>40</v>
      </c>
      <c r="D24" t="s">
        <v>101</v>
      </c>
      <c r="E24" t="s">
        <v>102</v>
      </c>
      <c r="F24" t="s">
        <v>115</v>
      </c>
      <c r="G24" t="s">
        <v>102</v>
      </c>
      <c r="H24" t="s">
        <v>75</v>
      </c>
      <c r="I24" t="s">
        <v>45</v>
      </c>
      <c r="J24">
        <v>298</v>
      </c>
      <c r="K24">
        <v>0.5</v>
      </c>
      <c r="L24">
        <v>306</v>
      </c>
      <c r="M24">
        <v>16272</v>
      </c>
      <c r="N24">
        <v>69</v>
      </c>
      <c r="O24">
        <v>45</v>
      </c>
      <c r="P24">
        <v>24.5</v>
      </c>
      <c r="Q24">
        <v>23.5</v>
      </c>
      <c r="R24">
        <v>63</v>
      </c>
      <c r="S24">
        <v>360</v>
      </c>
      <c r="T24">
        <v>400</v>
      </c>
      <c r="U24">
        <v>385</v>
      </c>
      <c r="V24">
        <v>375</v>
      </c>
      <c r="W24">
        <v>380</v>
      </c>
      <c r="X24">
        <v>370</v>
      </c>
      <c r="Y24">
        <v>370</v>
      </c>
      <c r="Z24">
        <v>370</v>
      </c>
      <c r="AI24">
        <v>0</v>
      </c>
      <c r="AJ24">
        <v>470</v>
      </c>
      <c r="AK24">
        <v>158.0278128950695</v>
      </c>
      <c r="AL24">
        <v>1.0610438865811811</v>
      </c>
      <c r="AM24" t="s">
        <v>144</v>
      </c>
    </row>
    <row r="25" spans="1:39" x14ac:dyDescent="0.35">
      <c r="A25" t="s">
        <v>74</v>
      </c>
      <c r="B25">
        <v>9464314</v>
      </c>
      <c r="C25" t="s">
        <v>145</v>
      </c>
      <c r="D25" t="s">
        <v>115</v>
      </c>
      <c r="E25" t="s">
        <v>146</v>
      </c>
      <c r="F25" t="s">
        <v>119</v>
      </c>
      <c r="G25" t="s">
        <v>147</v>
      </c>
      <c r="I25" t="s">
        <v>45</v>
      </c>
      <c r="K25">
        <v>0</v>
      </c>
      <c r="M25">
        <v>0</v>
      </c>
      <c r="N25">
        <v>0</v>
      </c>
      <c r="O25">
        <v>0</v>
      </c>
      <c r="P25">
        <v>0</v>
      </c>
      <c r="Q25">
        <v>21.6</v>
      </c>
      <c r="R25">
        <v>0</v>
      </c>
      <c r="AI25">
        <v>0.8</v>
      </c>
      <c r="AJ25">
        <v>0</v>
      </c>
      <c r="AK25">
        <v>0</v>
      </c>
      <c r="AL25">
        <v>0</v>
      </c>
      <c r="AM25" t="s">
        <v>148</v>
      </c>
    </row>
    <row r="26" spans="1:39" x14ac:dyDescent="0.35">
      <c r="A26" t="s">
        <v>74</v>
      </c>
      <c r="B26">
        <v>9464314</v>
      </c>
      <c r="C26" t="s">
        <v>40</v>
      </c>
      <c r="D26" t="s">
        <v>107</v>
      </c>
      <c r="E26" t="s">
        <v>102</v>
      </c>
      <c r="F26" t="s">
        <v>131</v>
      </c>
      <c r="G26" t="s">
        <v>102</v>
      </c>
      <c r="H26" t="s">
        <v>75</v>
      </c>
      <c r="I26" t="s">
        <v>143</v>
      </c>
      <c r="J26">
        <v>341</v>
      </c>
      <c r="K26">
        <v>0</v>
      </c>
      <c r="L26">
        <v>300</v>
      </c>
      <c r="M26">
        <v>31242</v>
      </c>
      <c r="N26">
        <v>67</v>
      </c>
      <c r="O26">
        <v>36</v>
      </c>
      <c r="P26">
        <v>24</v>
      </c>
      <c r="Q26">
        <v>24</v>
      </c>
      <c r="R26">
        <v>59</v>
      </c>
      <c r="S26">
        <v>390</v>
      </c>
      <c r="T26">
        <v>420</v>
      </c>
      <c r="U26">
        <v>405</v>
      </c>
      <c r="V26">
        <v>390</v>
      </c>
      <c r="W26">
        <v>420</v>
      </c>
      <c r="X26">
        <v>390</v>
      </c>
      <c r="Y26">
        <v>415</v>
      </c>
      <c r="Z26">
        <v>415</v>
      </c>
      <c r="AI26">
        <v>0</v>
      </c>
      <c r="AJ26">
        <v>370</v>
      </c>
      <c r="AK26">
        <v>78.686810490152141</v>
      </c>
      <c r="AL26">
        <v>0.44411369310543503</v>
      </c>
      <c r="AM26" t="s">
        <v>149</v>
      </c>
    </row>
    <row r="27" spans="1:39" x14ac:dyDescent="0.35">
      <c r="A27" t="s">
        <v>150</v>
      </c>
      <c r="B27">
        <v>9668960</v>
      </c>
      <c r="C27" t="s">
        <v>40</v>
      </c>
      <c r="D27" t="s">
        <v>105</v>
      </c>
      <c r="E27" t="s">
        <v>102</v>
      </c>
      <c r="F27" t="s">
        <v>107</v>
      </c>
      <c r="G27" t="s">
        <v>151</v>
      </c>
      <c r="H27" t="s">
        <v>152</v>
      </c>
      <c r="I27" t="s">
        <v>42</v>
      </c>
      <c r="J27">
        <v>310</v>
      </c>
      <c r="K27">
        <v>0</v>
      </c>
      <c r="L27">
        <v>322</v>
      </c>
      <c r="M27">
        <v>6409.2</v>
      </c>
      <c r="N27">
        <v>84.2</v>
      </c>
      <c r="O27">
        <v>28</v>
      </c>
      <c r="P27">
        <v>21.6</v>
      </c>
      <c r="Q27">
        <v>21.5</v>
      </c>
      <c r="R27">
        <v>32.9</v>
      </c>
      <c r="S27">
        <v>247</v>
      </c>
      <c r="T27">
        <v>252</v>
      </c>
      <c r="U27">
        <v>245</v>
      </c>
      <c r="V27">
        <v>255</v>
      </c>
      <c r="W27">
        <v>260</v>
      </c>
      <c r="X27">
        <v>254</v>
      </c>
      <c r="Y27">
        <v>251</v>
      </c>
      <c r="AI27">
        <v>5</v>
      </c>
      <c r="AJ27">
        <v>249</v>
      </c>
      <c r="AK27">
        <v>237.65027587657559</v>
      </c>
      <c r="AL27">
        <v>1.618766772764151</v>
      </c>
      <c r="AM27" t="s">
        <v>153</v>
      </c>
    </row>
    <row r="28" spans="1:39" x14ac:dyDescent="0.35">
      <c r="A28" t="s">
        <v>89</v>
      </c>
      <c r="B28">
        <v>9442392</v>
      </c>
      <c r="C28" t="s">
        <v>40</v>
      </c>
      <c r="D28" t="s">
        <v>111</v>
      </c>
      <c r="E28" t="s">
        <v>102</v>
      </c>
      <c r="F28" t="s">
        <v>112</v>
      </c>
      <c r="G28" t="s">
        <v>102</v>
      </c>
      <c r="H28" t="s">
        <v>90</v>
      </c>
      <c r="I28" t="s">
        <v>154</v>
      </c>
      <c r="J28">
        <v>224</v>
      </c>
      <c r="K28">
        <v>1</v>
      </c>
      <c r="L28">
        <v>263</v>
      </c>
      <c r="M28">
        <v>4756</v>
      </c>
      <c r="N28">
        <v>70.27</v>
      </c>
      <c r="O28">
        <v>44.3</v>
      </c>
      <c r="P28">
        <v>23</v>
      </c>
      <c r="Q28">
        <v>23</v>
      </c>
      <c r="R28">
        <v>19.690000000000001</v>
      </c>
      <c r="S28">
        <v>355</v>
      </c>
      <c r="T28">
        <v>365</v>
      </c>
      <c r="U28">
        <v>339</v>
      </c>
      <c r="V28">
        <v>327</v>
      </c>
      <c r="W28">
        <v>358</v>
      </c>
      <c r="X28">
        <v>320</v>
      </c>
      <c r="AI28">
        <v>23</v>
      </c>
      <c r="AJ28">
        <v>125</v>
      </c>
      <c r="AK28">
        <v>180.00146268329249</v>
      </c>
      <c r="AL28">
        <v>1.028449190039127</v>
      </c>
      <c r="AM28" t="s">
        <v>109</v>
      </c>
    </row>
    <row r="29" spans="1:39" x14ac:dyDescent="0.35">
      <c r="A29" t="s">
        <v>89</v>
      </c>
      <c r="B29">
        <v>9442392</v>
      </c>
      <c r="C29" t="s">
        <v>40</v>
      </c>
      <c r="D29" t="s">
        <v>112</v>
      </c>
      <c r="E29" t="s">
        <v>102</v>
      </c>
      <c r="F29" t="s">
        <v>101</v>
      </c>
      <c r="G29" t="s">
        <v>102</v>
      </c>
      <c r="H29" t="s">
        <v>90</v>
      </c>
      <c r="I29" t="s">
        <v>154</v>
      </c>
      <c r="J29">
        <v>237</v>
      </c>
      <c r="K29">
        <v>0</v>
      </c>
      <c r="L29">
        <v>272</v>
      </c>
      <c r="M29">
        <v>4877</v>
      </c>
      <c r="N29">
        <v>71.12</v>
      </c>
      <c r="O29">
        <v>45.4</v>
      </c>
      <c r="P29">
        <v>24</v>
      </c>
      <c r="Q29">
        <v>24</v>
      </c>
      <c r="R29">
        <v>21.07</v>
      </c>
      <c r="S29">
        <v>354</v>
      </c>
      <c r="T29">
        <v>365</v>
      </c>
      <c r="U29">
        <v>336</v>
      </c>
      <c r="V29">
        <v>330</v>
      </c>
      <c r="W29">
        <v>358</v>
      </c>
      <c r="X29">
        <v>325</v>
      </c>
      <c r="AI29">
        <v>24</v>
      </c>
      <c r="AJ29">
        <v>131</v>
      </c>
      <c r="AK29">
        <v>180.01161916478711</v>
      </c>
      <c r="AL29">
        <v>1.0072790649989749</v>
      </c>
      <c r="AM29" t="s">
        <v>109</v>
      </c>
    </row>
    <row r="30" spans="1:39" x14ac:dyDescent="0.35">
      <c r="A30" t="s">
        <v>89</v>
      </c>
      <c r="B30">
        <v>9442392</v>
      </c>
      <c r="C30" t="s">
        <v>40</v>
      </c>
      <c r="D30" t="s">
        <v>101</v>
      </c>
      <c r="E30" t="s">
        <v>102</v>
      </c>
      <c r="F30" t="s">
        <v>115</v>
      </c>
      <c r="G30" t="s">
        <v>102</v>
      </c>
      <c r="H30" t="s">
        <v>90</v>
      </c>
      <c r="I30" t="s">
        <v>129</v>
      </c>
      <c r="J30">
        <v>245</v>
      </c>
      <c r="K30">
        <v>0</v>
      </c>
      <c r="L30">
        <v>274</v>
      </c>
      <c r="M30">
        <v>4956</v>
      </c>
      <c r="N30">
        <v>71.83</v>
      </c>
      <c r="O30">
        <v>46.1</v>
      </c>
      <c r="P30">
        <v>24</v>
      </c>
      <c r="Q30">
        <v>24</v>
      </c>
      <c r="R30">
        <v>21.41</v>
      </c>
      <c r="S30">
        <v>356</v>
      </c>
      <c r="T30">
        <v>367</v>
      </c>
      <c r="U30">
        <v>340</v>
      </c>
      <c r="V30">
        <v>332</v>
      </c>
      <c r="W30">
        <v>361</v>
      </c>
      <c r="X30">
        <v>321</v>
      </c>
      <c r="AI30">
        <v>0</v>
      </c>
      <c r="AJ30">
        <v>132</v>
      </c>
      <c r="AK30">
        <v>180.00067258541841</v>
      </c>
      <c r="AL30">
        <v>0.99878934624697335</v>
      </c>
      <c r="AM30" t="s">
        <v>109</v>
      </c>
    </row>
    <row r="31" spans="1:39" x14ac:dyDescent="0.35">
      <c r="A31" t="s">
        <v>89</v>
      </c>
      <c r="B31">
        <v>9442392</v>
      </c>
      <c r="C31" t="s">
        <v>40</v>
      </c>
      <c r="D31" t="s">
        <v>115</v>
      </c>
      <c r="E31" t="s">
        <v>102</v>
      </c>
      <c r="F31" t="s">
        <v>119</v>
      </c>
      <c r="G31" t="s">
        <v>102</v>
      </c>
      <c r="H31" t="s">
        <v>90</v>
      </c>
      <c r="I31" t="s">
        <v>155</v>
      </c>
      <c r="J31">
        <v>234</v>
      </c>
      <c r="K31">
        <v>1</v>
      </c>
      <c r="L31">
        <v>264</v>
      </c>
      <c r="M31">
        <v>4915</v>
      </c>
      <c r="N31">
        <v>72.069999999999993</v>
      </c>
      <c r="O31">
        <v>45.8</v>
      </c>
      <c r="P31">
        <v>23</v>
      </c>
      <c r="Q31">
        <v>23</v>
      </c>
      <c r="R31">
        <v>20.350000000000001</v>
      </c>
      <c r="S31">
        <v>355</v>
      </c>
      <c r="T31">
        <v>365</v>
      </c>
      <c r="U31">
        <v>341</v>
      </c>
      <c r="V31">
        <v>326</v>
      </c>
      <c r="W31">
        <v>361</v>
      </c>
      <c r="X31">
        <v>322</v>
      </c>
      <c r="AI31">
        <v>0</v>
      </c>
      <c r="AJ31">
        <v>125</v>
      </c>
      <c r="AK31">
        <v>180.01680746605331</v>
      </c>
      <c r="AL31">
        <v>0.9951789110531204</v>
      </c>
      <c r="AM31" t="s">
        <v>109</v>
      </c>
    </row>
    <row r="32" spans="1:39" x14ac:dyDescent="0.35">
      <c r="A32" t="s">
        <v>89</v>
      </c>
      <c r="B32">
        <v>9442392</v>
      </c>
      <c r="C32" t="s">
        <v>40</v>
      </c>
      <c r="D32" t="s">
        <v>119</v>
      </c>
      <c r="E32" t="s">
        <v>102</v>
      </c>
      <c r="F32" t="s">
        <v>105</v>
      </c>
      <c r="G32" t="s">
        <v>102</v>
      </c>
      <c r="H32" t="s">
        <v>156</v>
      </c>
      <c r="I32" t="s">
        <v>130</v>
      </c>
      <c r="J32">
        <v>243</v>
      </c>
      <c r="K32">
        <v>0</v>
      </c>
      <c r="L32">
        <v>274</v>
      </c>
      <c r="M32">
        <v>4896</v>
      </c>
      <c r="N32">
        <v>71.58</v>
      </c>
      <c r="O32">
        <v>45.6</v>
      </c>
      <c r="P32">
        <v>24</v>
      </c>
      <c r="Q32">
        <v>24</v>
      </c>
      <c r="R32">
        <v>21.15</v>
      </c>
      <c r="S32">
        <v>357</v>
      </c>
      <c r="T32">
        <v>362</v>
      </c>
      <c r="U32">
        <v>341</v>
      </c>
      <c r="V32">
        <v>328</v>
      </c>
      <c r="W32">
        <v>363</v>
      </c>
      <c r="X32">
        <v>328</v>
      </c>
      <c r="AI32">
        <v>0</v>
      </c>
      <c r="AJ32">
        <v>130</v>
      </c>
      <c r="AK32">
        <v>179.99387254901961</v>
      </c>
      <c r="AL32">
        <v>0.99571078431372551</v>
      </c>
      <c r="AM32" t="s">
        <v>109</v>
      </c>
    </row>
    <row r="33" spans="1:39" x14ac:dyDescent="0.35">
      <c r="A33" t="s">
        <v>89</v>
      </c>
      <c r="B33">
        <v>9442392</v>
      </c>
      <c r="C33" t="s">
        <v>40</v>
      </c>
      <c r="D33" t="s">
        <v>105</v>
      </c>
      <c r="E33" t="s">
        <v>102</v>
      </c>
      <c r="F33" t="s">
        <v>107</v>
      </c>
      <c r="G33" t="s">
        <v>102</v>
      </c>
      <c r="H33" t="s">
        <v>90</v>
      </c>
      <c r="I33" t="s">
        <v>130</v>
      </c>
      <c r="J33">
        <v>232</v>
      </c>
      <c r="K33">
        <v>0</v>
      </c>
      <c r="L33">
        <v>274</v>
      </c>
      <c r="M33">
        <v>4931</v>
      </c>
      <c r="N33">
        <v>71.569999999999993</v>
      </c>
      <c r="O33">
        <v>45.9</v>
      </c>
      <c r="P33">
        <v>24</v>
      </c>
      <c r="Q33">
        <v>24</v>
      </c>
      <c r="R33">
        <v>21.3</v>
      </c>
      <c r="S33">
        <v>362</v>
      </c>
      <c r="T33">
        <v>363</v>
      </c>
      <c r="U33">
        <v>342</v>
      </c>
      <c r="V33">
        <v>334</v>
      </c>
      <c r="W33">
        <v>366</v>
      </c>
      <c r="X33">
        <v>329</v>
      </c>
      <c r="AI33">
        <v>0</v>
      </c>
      <c r="AJ33">
        <v>130</v>
      </c>
      <c r="AK33">
        <v>179.98377611032251</v>
      </c>
      <c r="AL33">
        <v>0.98864327722571488</v>
      </c>
      <c r="AM33" t="s">
        <v>109</v>
      </c>
    </row>
    <row r="34" spans="1:39" x14ac:dyDescent="0.35">
      <c r="A34" t="s">
        <v>89</v>
      </c>
      <c r="B34">
        <v>9442392</v>
      </c>
      <c r="C34" t="s">
        <v>40</v>
      </c>
      <c r="D34" t="s">
        <v>107</v>
      </c>
      <c r="E34" t="s">
        <v>102</v>
      </c>
      <c r="F34" t="s">
        <v>131</v>
      </c>
      <c r="G34" t="s">
        <v>102</v>
      </c>
      <c r="H34" t="s">
        <v>90</v>
      </c>
      <c r="I34" t="s">
        <v>66</v>
      </c>
      <c r="J34">
        <v>251</v>
      </c>
      <c r="K34">
        <v>1</v>
      </c>
      <c r="L34">
        <v>264</v>
      </c>
      <c r="M34">
        <v>4870</v>
      </c>
      <c r="N34">
        <v>72.42</v>
      </c>
      <c r="O34">
        <v>45.3</v>
      </c>
      <c r="P34">
        <v>23</v>
      </c>
      <c r="Q34">
        <v>23</v>
      </c>
      <c r="R34">
        <v>20.16</v>
      </c>
      <c r="S34">
        <v>365</v>
      </c>
      <c r="T34">
        <v>364</v>
      </c>
      <c r="U34">
        <v>343</v>
      </c>
      <c r="V34">
        <v>331</v>
      </c>
      <c r="W34">
        <v>366</v>
      </c>
      <c r="X34">
        <v>328</v>
      </c>
      <c r="AI34">
        <v>0</v>
      </c>
      <c r="AJ34">
        <v>122</v>
      </c>
      <c r="AK34">
        <v>179.98393000624941</v>
      </c>
      <c r="AL34">
        <v>0.98026961878403718</v>
      </c>
      <c r="AM34" t="s">
        <v>109</v>
      </c>
    </row>
    <row r="35" spans="1:39" x14ac:dyDescent="0.35">
      <c r="A35" t="s">
        <v>93</v>
      </c>
      <c r="B35">
        <v>9640994</v>
      </c>
      <c r="C35" t="s">
        <v>40</v>
      </c>
      <c r="D35" t="s">
        <v>112</v>
      </c>
      <c r="E35" t="s">
        <v>102</v>
      </c>
      <c r="F35" t="s">
        <v>101</v>
      </c>
      <c r="G35" t="s">
        <v>102</v>
      </c>
      <c r="H35">
        <v>99</v>
      </c>
      <c r="I35" t="s">
        <v>45</v>
      </c>
      <c r="J35">
        <v>227</v>
      </c>
      <c r="K35">
        <v>0</v>
      </c>
      <c r="L35">
        <v>227</v>
      </c>
      <c r="M35">
        <v>5900</v>
      </c>
      <c r="N35">
        <v>75.23</v>
      </c>
      <c r="O35">
        <v>45.38</v>
      </c>
      <c r="P35">
        <v>24</v>
      </c>
      <c r="Q35">
        <v>24</v>
      </c>
      <c r="R35">
        <v>25.3</v>
      </c>
      <c r="S35">
        <v>310</v>
      </c>
      <c r="T35">
        <v>303</v>
      </c>
      <c r="U35">
        <v>342</v>
      </c>
      <c r="V35">
        <v>311</v>
      </c>
      <c r="W35">
        <v>314</v>
      </c>
      <c r="X35">
        <v>328</v>
      </c>
      <c r="AI35">
        <v>0</v>
      </c>
      <c r="AJ35">
        <v>159</v>
      </c>
      <c r="AK35">
        <v>178.67231638418079</v>
      </c>
      <c r="AL35">
        <v>1.0105932203389829</v>
      </c>
      <c r="AM35" t="s">
        <v>157</v>
      </c>
    </row>
    <row r="36" spans="1:39" x14ac:dyDescent="0.35">
      <c r="A36" t="s">
        <v>93</v>
      </c>
      <c r="B36">
        <v>9640994</v>
      </c>
      <c r="C36" t="s">
        <v>40</v>
      </c>
      <c r="D36" t="s">
        <v>119</v>
      </c>
      <c r="E36" t="s">
        <v>102</v>
      </c>
      <c r="F36" t="s">
        <v>105</v>
      </c>
      <c r="G36" t="s">
        <v>102</v>
      </c>
      <c r="H36">
        <v>99</v>
      </c>
      <c r="I36" t="s">
        <v>94</v>
      </c>
      <c r="J36">
        <v>297</v>
      </c>
      <c r="K36">
        <v>1</v>
      </c>
      <c r="L36">
        <v>297</v>
      </c>
      <c r="M36">
        <v>5900</v>
      </c>
      <c r="N36">
        <v>75.260000000000005</v>
      </c>
      <c r="O36">
        <v>45.38</v>
      </c>
      <c r="P36">
        <v>25</v>
      </c>
      <c r="Q36">
        <v>23</v>
      </c>
      <c r="R36">
        <v>24.2</v>
      </c>
      <c r="S36">
        <v>312</v>
      </c>
      <c r="T36">
        <v>309</v>
      </c>
      <c r="U36">
        <v>353</v>
      </c>
      <c r="V36">
        <v>316</v>
      </c>
      <c r="W36">
        <v>315</v>
      </c>
      <c r="X36">
        <v>339</v>
      </c>
      <c r="AI36">
        <v>0</v>
      </c>
      <c r="AJ36">
        <v>164</v>
      </c>
      <c r="AK36">
        <v>164.06779661016949</v>
      </c>
      <c r="AL36">
        <v>1.0006779661016949</v>
      </c>
      <c r="AM36" t="s">
        <v>158</v>
      </c>
    </row>
    <row r="37" spans="1:39" x14ac:dyDescent="0.35">
      <c r="A37" t="s">
        <v>97</v>
      </c>
      <c r="B37">
        <v>9506540</v>
      </c>
      <c r="C37" t="s">
        <v>40</v>
      </c>
      <c r="D37" t="s">
        <v>105</v>
      </c>
      <c r="E37" t="s">
        <v>102</v>
      </c>
      <c r="F37" t="s">
        <v>107</v>
      </c>
      <c r="G37" t="s">
        <v>159</v>
      </c>
      <c r="H37">
        <v>150</v>
      </c>
      <c r="I37" t="s">
        <v>42</v>
      </c>
      <c r="J37">
        <v>20</v>
      </c>
      <c r="K37">
        <v>0</v>
      </c>
      <c r="L37">
        <v>20</v>
      </c>
      <c r="M37">
        <v>2018</v>
      </c>
      <c r="N37">
        <v>47.6</v>
      </c>
      <c r="O37">
        <v>14.89</v>
      </c>
      <c r="P37">
        <v>13.3</v>
      </c>
      <c r="Q37">
        <v>13.3</v>
      </c>
      <c r="R37">
        <v>715.2</v>
      </c>
      <c r="S37">
        <v>271</v>
      </c>
      <c r="T37">
        <v>280</v>
      </c>
      <c r="U37">
        <v>265</v>
      </c>
      <c r="V37">
        <v>257</v>
      </c>
      <c r="W37">
        <v>279</v>
      </c>
      <c r="X37">
        <v>287</v>
      </c>
      <c r="AI37">
        <v>22.8</v>
      </c>
      <c r="AJ37">
        <v>50</v>
      </c>
      <c r="AK37">
        <v>26647.391521419999</v>
      </c>
      <c r="AL37">
        <v>1.67663956720344</v>
      </c>
      <c r="AM37" t="s">
        <v>160</v>
      </c>
    </row>
    <row r="38" spans="1:39" x14ac:dyDescent="0.35">
      <c r="A38" t="s">
        <v>161</v>
      </c>
      <c r="B38">
        <v>9204726</v>
      </c>
      <c r="C38" t="s">
        <v>40</v>
      </c>
      <c r="D38" t="s">
        <v>111</v>
      </c>
      <c r="E38" t="s">
        <v>102</v>
      </c>
      <c r="F38" t="s">
        <v>112</v>
      </c>
      <c r="G38" t="s">
        <v>102</v>
      </c>
      <c r="H38" t="s">
        <v>162</v>
      </c>
      <c r="I38" t="s">
        <v>42</v>
      </c>
      <c r="J38">
        <v>221.9</v>
      </c>
      <c r="K38">
        <v>0</v>
      </c>
      <c r="L38">
        <v>220.9</v>
      </c>
      <c r="M38">
        <v>3900</v>
      </c>
      <c r="N38">
        <v>485</v>
      </c>
      <c r="O38">
        <v>50</v>
      </c>
      <c r="P38">
        <v>20.6</v>
      </c>
      <c r="Q38">
        <v>24</v>
      </c>
      <c r="R38">
        <v>7.6</v>
      </c>
      <c r="S38">
        <v>415</v>
      </c>
      <c r="T38">
        <v>420</v>
      </c>
      <c r="U38">
        <v>422</v>
      </c>
      <c r="V38">
        <v>420</v>
      </c>
      <c r="W38">
        <v>422</v>
      </c>
      <c r="X38">
        <v>420</v>
      </c>
      <c r="Y38">
        <v>422</v>
      </c>
      <c r="Z38">
        <v>420</v>
      </c>
      <c r="AI38">
        <v>24</v>
      </c>
      <c r="AJ38">
        <v>0</v>
      </c>
      <c r="AK38">
        <v>94.597958675628576</v>
      </c>
      <c r="AL38">
        <v>0</v>
      </c>
      <c r="AM38" t="s">
        <v>163</v>
      </c>
    </row>
    <row r="39" spans="1:39" x14ac:dyDescent="0.35">
      <c r="A39" t="s">
        <v>161</v>
      </c>
      <c r="B39">
        <v>9204726</v>
      </c>
      <c r="C39" t="s">
        <v>40</v>
      </c>
      <c r="D39" t="s">
        <v>112</v>
      </c>
      <c r="E39" t="s">
        <v>102</v>
      </c>
      <c r="F39" t="s">
        <v>101</v>
      </c>
      <c r="G39" t="s">
        <v>102</v>
      </c>
      <c r="H39" t="s">
        <v>162</v>
      </c>
      <c r="I39" t="s">
        <v>42</v>
      </c>
      <c r="J39">
        <v>274</v>
      </c>
      <c r="K39">
        <v>0</v>
      </c>
      <c r="L39">
        <v>284.60000000000002</v>
      </c>
      <c r="M39">
        <v>4836</v>
      </c>
      <c r="N39">
        <v>466</v>
      </c>
      <c r="O39">
        <v>62</v>
      </c>
      <c r="P39">
        <v>24</v>
      </c>
      <c r="Q39">
        <v>24</v>
      </c>
      <c r="R39">
        <v>13.8</v>
      </c>
      <c r="S39">
        <v>427</v>
      </c>
      <c r="T39">
        <v>456</v>
      </c>
      <c r="U39">
        <v>520</v>
      </c>
      <c r="V39">
        <v>411</v>
      </c>
      <c r="W39">
        <v>397</v>
      </c>
      <c r="X39">
        <v>470</v>
      </c>
      <c r="Y39">
        <v>392</v>
      </c>
      <c r="Z39">
        <v>356</v>
      </c>
      <c r="AI39">
        <v>24</v>
      </c>
      <c r="AJ39">
        <v>0</v>
      </c>
      <c r="AK39">
        <v>118.89991728701411</v>
      </c>
      <c r="AL39">
        <v>0</v>
      </c>
      <c r="AM39" t="s">
        <v>164</v>
      </c>
    </row>
    <row r="40" spans="1:39" x14ac:dyDescent="0.35">
      <c r="A40" t="s">
        <v>161</v>
      </c>
      <c r="B40">
        <v>9204726</v>
      </c>
      <c r="C40" t="s">
        <v>40</v>
      </c>
      <c r="D40" t="s">
        <v>101</v>
      </c>
      <c r="E40" t="s">
        <v>102</v>
      </c>
      <c r="F40" t="s">
        <v>115</v>
      </c>
      <c r="G40" t="s">
        <v>102</v>
      </c>
      <c r="H40" t="s">
        <v>162</v>
      </c>
      <c r="I40" t="s">
        <v>42</v>
      </c>
      <c r="J40">
        <v>278</v>
      </c>
      <c r="K40">
        <v>0</v>
      </c>
      <c r="L40">
        <v>288.64999999999998</v>
      </c>
      <c r="M40">
        <v>4836</v>
      </c>
      <c r="N40">
        <v>465</v>
      </c>
      <c r="O40">
        <v>62</v>
      </c>
      <c r="P40">
        <v>24</v>
      </c>
      <c r="Q40">
        <v>24</v>
      </c>
      <c r="R40">
        <v>13.2</v>
      </c>
      <c r="S40">
        <v>447</v>
      </c>
      <c r="T40">
        <v>497</v>
      </c>
      <c r="U40">
        <v>522</v>
      </c>
      <c r="V40">
        <v>401</v>
      </c>
      <c r="W40">
        <v>400</v>
      </c>
      <c r="X40">
        <v>471</v>
      </c>
      <c r="Y40">
        <v>420</v>
      </c>
      <c r="Z40">
        <v>362</v>
      </c>
      <c r="AI40">
        <v>24</v>
      </c>
      <c r="AJ40">
        <v>0</v>
      </c>
      <c r="AK40">
        <v>113.7303556658395</v>
      </c>
      <c r="AL40">
        <v>0</v>
      </c>
      <c r="AM40" t="s">
        <v>165</v>
      </c>
    </row>
    <row r="41" spans="1:39" x14ac:dyDescent="0.35">
      <c r="A41" t="s">
        <v>161</v>
      </c>
      <c r="B41">
        <v>9204726</v>
      </c>
      <c r="C41" t="s">
        <v>40</v>
      </c>
      <c r="D41" t="s">
        <v>115</v>
      </c>
      <c r="E41" t="s">
        <v>102</v>
      </c>
      <c r="F41" t="s">
        <v>119</v>
      </c>
      <c r="G41" t="s">
        <v>102</v>
      </c>
      <c r="H41" t="s">
        <v>162</v>
      </c>
      <c r="I41" t="s">
        <v>42</v>
      </c>
      <c r="J41">
        <v>288.2</v>
      </c>
      <c r="K41">
        <v>0</v>
      </c>
      <c r="L41">
        <v>289</v>
      </c>
      <c r="M41">
        <v>5148</v>
      </c>
      <c r="N41">
        <v>463</v>
      </c>
      <c r="O41">
        <v>66</v>
      </c>
      <c r="P41">
        <v>24</v>
      </c>
      <c r="Q41">
        <v>24</v>
      </c>
      <c r="R41">
        <v>14.7</v>
      </c>
      <c r="S41">
        <v>444</v>
      </c>
      <c r="T41">
        <v>486</v>
      </c>
      <c r="U41">
        <v>466</v>
      </c>
      <c r="V41">
        <v>401</v>
      </c>
      <c r="W41">
        <v>416</v>
      </c>
      <c r="X41">
        <v>425</v>
      </c>
      <c r="Y41">
        <v>443</v>
      </c>
      <c r="Z41">
        <v>369</v>
      </c>
      <c r="AI41">
        <v>24</v>
      </c>
      <c r="AJ41">
        <v>0</v>
      </c>
      <c r="AK41">
        <v>118.978243978244</v>
      </c>
      <c r="AL41">
        <v>0</v>
      </c>
      <c r="AM41" t="s">
        <v>166</v>
      </c>
    </row>
    <row r="42" spans="1:39" x14ac:dyDescent="0.35">
      <c r="A42" t="s">
        <v>167</v>
      </c>
      <c r="B42">
        <v>9431836</v>
      </c>
      <c r="C42" t="s">
        <v>49</v>
      </c>
      <c r="D42" t="s">
        <v>119</v>
      </c>
      <c r="E42" t="s">
        <v>102</v>
      </c>
      <c r="F42" t="s">
        <v>119</v>
      </c>
      <c r="G42" t="s">
        <v>168</v>
      </c>
      <c r="H42" t="s">
        <v>169</v>
      </c>
      <c r="I42" t="s">
        <v>45</v>
      </c>
      <c r="J42">
        <v>14</v>
      </c>
      <c r="K42">
        <v>0</v>
      </c>
      <c r="L42">
        <v>14</v>
      </c>
      <c r="M42">
        <v>914.4</v>
      </c>
      <c r="N42">
        <v>45.8</v>
      </c>
      <c r="O42">
        <v>6.4</v>
      </c>
      <c r="P42">
        <v>3.2</v>
      </c>
      <c r="Q42">
        <v>9.9</v>
      </c>
      <c r="R42">
        <v>0.5</v>
      </c>
      <c r="AI42">
        <v>2.5</v>
      </c>
      <c r="AJ42">
        <v>11</v>
      </c>
      <c r="AK42">
        <v>170.87707786526681</v>
      </c>
      <c r="AL42">
        <v>3.3833661417322829</v>
      </c>
      <c r="AM42" t="s">
        <v>170</v>
      </c>
    </row>
    <row r="43" spans="1:39" x14ac:dyDescent="0.35">
      <c r="A43" t="s">
        <v>167</v>
      </c>
      <c r="B43">
        <v>9431836</v>
      </c>
      <c r="C43" t="s">
        <v>145</v>
      </c>
      <c r="D43" t="s">
        <v>105</v>
      </c>
      <c r="E43" t="s">
        <v>102</v>
      </c>
      <c r="F43" t="s">
        <v>105</v>
      </c>
      <c r="G43" t="s">
        <v>116</v>
      </c>
      <c r="H43" t="s">
        <v>169</v>
      </c>
      <c r="I43" t="s">
        <v>45</v>
      </c>
      <c r="J43">
        <v>0</v>
      </c>
      <c r="K43">
        <v>0</v>
      </c>
      <c r="L43">
        <v>0</v>
      </c>
      <c r="M43">
        <v>0</v>
      </c>
      <c r="N43">
        <v>0</v>
      </c>
      <c r="O43">
        <v>0</v>
      </c>
      <c r="P43">
        <v>0</v>
      </c>
      <c r="Q43">
        <v>1</v>
      </c>
      <c r="R43">
        <v>0</v>
      </c>
      <c r="AI43">
        <v>1</v>
      </c>
      <c r="AJ43">
        <v>0</v>
      </c>
      <c r="AK43">
        <v>0</v>
      </c>
      <c r="AL43">
        <v>0</v>
      </c>
      <c r="AM43" t="s">
        <v>171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B2E37-EC1F-414A-A082-3447AF828325}">
  <dimension ref="A1:AM45"/>
  <sheetViews>
    <sheetView topLeftCell="A4" workbookViewId="0">
      <selection activeCell="B11" sqref="B11"/>
    </sheetView>
  </sheetViews>
  <sheetFormatPr defaultRowHeight="14.5" x14ac:dyDescent="0.35"/>
  <cols>
    <col min="1" max="1" width="14.90625" customWidth="1"/>
  </cols>
  <sheetData>
    <row r="1" spans="1:39"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row>
    <row r="2" spans="1:39" x14ac:dyDescent="0.35">
      <c r="A2" t="s">
        <v>39</v>
      </c>
      <c r="B2">
        <v>9583627</v>
      </c>
      <c r="C2" t="s">
        <v>40</v>
      </c>
      <c r="D2" s="1">
        <v>46188</v>
      </c>
      <c r="E2" s="2">
        <v>0.5</v>
      </c>
      <c r="F2" s="1">
        <v>46189</v>
      </c>
      <c r="G2" s="2">
        <v>0.5</v>
      </c>
      <c r="H2" t="s">
        <v>41</v>
      </c>
      <c r="I2" t="s">
        <v>42</v>
      </c>
      <c r="J2">
        <v>185</v>
      </c>
      <c r="K2">
        <v>0</v>
      </c>
      <c r="L2">
        <v>189</v>
      </c>
      <c r="M2">
        <v>2920</v>
      </c>
      <c r="N2">
        <v>96</v>
      </c>
      <c r="O2">
        <v>40</v>
      </c>
      <c r="P2">
        <v>24</v>
      </c>
      <c r="Q2">
        <v>24</v>
      </c>
      <c r="R2">
        <v>14.25</v>
      </c>
      <c r="S2">
        <v>312</v>
      </c>
      <c r="T2">
        <v>317</v>
      </c>
      <c r="U2">
        <v>340</v>
      </c>
      <c r="V2">
        <v>335</v>
      </c>
      <c r="W2">
        <v>337</v>
      </c>
      <c r="X2">
        <v>341</v>
      </c>
      <c r="AI2">
        <v>203.3390411</v>
      </c>
      <c r="AJ2">
        <v>0.115582192</v>
      </c>
      <c r="AK2">
        <v>2.2000000000000002</v>
      </c>
      <c r="AL2">
        <v>9</v>
      </c>
      <c r="AM2" t="s">
        <v>43</v>
      </c>
    </row>
    <row r="3" spans="1:39" x14ac:dyDescent="0.35">
      <c r="A3" t="s">
        <v>44</v>
      </c>
      <c r="B3">
        <v>9586849</v>
      </c>
      <c r="C3" t="s">
        <v>40</v>
      </c>
      <c r="D3" s="1">
        <v>46188</v>
      </c>
      <c r="E3" s="2">
        <v>0.66666666666666663</v>
      </c>
      <c r="F3" s="1">
        <v>46189</v>
      </c>
      <c r="G3" s="2">
        <v>0.5</v>
      </c>
      <c r="H3">
        <v>6</v>
      </c>
      <c r="I3" t="s">
        <v>45</v>
      </c>
      <c r="J3">
        <v>156</v>
      </c>
      <c r="K3">
        <v>0</v>
      </c>
      <c r="L3">
        <v>156</v>
      </c>
      <c r="M3">
        <v>4000</v>
      </c>
      <c r="N3">
        <v>105</v>
      </c>
      <c r="O3">
        <v>45</v>
      </c>
      <c r="P3">
        <v>24</v>
      </c>
      <c r="Q3">
        <v>20</v>
      </c>
      <c r="R3">
        <v>8</v>
      </c>
      <c r="S3">
        <v>390</v>
      </c>
      <c r="T3">
        <v>390</v>
      </c>
      <c r="U3">
        <v>390</v>
      </c>
      <c r="V3">
        <v>390</v>
      </c>
      <c r="W3">
        <v>390</v>
      </c>
      <c r="X3">
        <v>390</v>
      </c>
      <c r="AI3">
        <v>83.333333330000002</v>
      </c>
      <c r="AJ3">
        <v>0.46875</v>
      </c>
      <c r="AK3">
        <v>20</v>
      </c>
      <c r="AL3">
        <v>50</v>
      </c>
      <c r="AM3" t="s">
        <v>46</v>
      </c>
    </row>
    <row r="4" spans="1:39" x14ac:dyDescent="0.35">
      <c r="A4" t="s">
        <v>44</v>
      </c>
      <c r="B4">
        <v>9586849</v>
      </c>
      <c r="C4" t="s">
        <v>47</v>
      </c>
      <c r="D4" s="1">
        <v>46189</v>
      </c>
      <c r="E4" s="2">
        <v>0.10416666666666667</v>
      </c>
      <c r="F4" s="1">
        <v>46190</v>
      </c>
      <c r="G4" s="2">
        <v>0.5</v>
      </c>
      <c r="H4">
        <v>6</v>
      </c>
      <c r="I4" t="s">
        <v>45</v>
      </c>
      <c r="J4">
        <v>156</v>
      </c>
      <c r="K4">
        <v>0</v>
      </c>
      <c r="L4">
        <v>156</v>
      </c>
      <c r="M4">
        <v>0</v>
      </c>
      <c r="O4">
        <v>0</v>
      </c>
      <c r="P4">
        <v>0</v>
      </c>
      <c r="Q4">
        <v>33.5</v>
      </c>
      <c r="R4">
        <v>0</v>
      </c>
      <c r="AI4">
        <v>0</v>
      </c>
      <c r="AJ4">
        <v>0</v>
      </c>
      <c r="AK4">
        <v>9.5</v>
      </c>
      <c r="AL4">
        <v>0</v>
      </c>
      <c r="AM4" t="s">
        <v>48</v>
      </c>
    </row>
    <row r="5" spans="1:39" x14ac:dyDescent="0.35">
      <c r="A5" t="s">
        <v>44</v>
      </c>
      <c r="B5">
        <v>9586849</v>
      </c>
      <c r="C5" t="s">
        <v>49</v>
      </c>
      <c r="D5" s="1">
        <v>46189</v>
      </c>
      <c r="E5" s="2">
        <v>0.5</v>
      </c>
      <c r="F5" s="1">
        <v>46189</v>
      </c>
      <c r="G5" s="2">
        <v>0.10416666666666667</v>
      </c>
      <c r="H5">
        <v>5</v>
      </c>
      <c r="I5" t="s">
        <v>45</v>
      </c>
      <c r="J5">
        <v>155</v>
      </c>
      <c r="K5">
        <v>0</v>
      </c>
      <c r="L5">
        <v>155</v>
      </c>
      <c r="M5">
        <v>3000</v>
      </c>
      <c r="N5">
        <v>70</v>
      </c>
      <c r="O5">
        <v>30</v>
      </c>
      <c r="P5">
        <v>14</v>
      </c>
      <c r="Q5">
        <v>-9.5</v>
      </c>
      <c r="R5">
        <v>10</v>
      </c>
      <c r="AI5">
        <v>238.09523809999999</v>
      </c>
      <c r="AJ5">
        <v>1.071428571</v>
      </c>
      <c r="AK5">
        <v>14.5</v>
      </c>
      <c r="AL5">
        <v>50</v>
      </c>
      <c r="AM5" t="s">
        <v>50</v>
      </c>
    </row>
    <row r="6" spans="1:39" x14ac:dyDescent="0.35">
      <c r="A6" t="s">
        <v>44</v>
      </c>
      <c r="B6">
        <v>9586849</v>
      </c>
      <c r="C6" t="s">
        <v>47</v>
      </c>
      <c r="D6" s="1">
        <v>46190</v>
      </c>
      <c r="E6" s="2">
        <v>0.5</v>
      </c>
      <c r="F6" s="1">
        <v>46192</v>
      </c>
      <c r="G6" s="2">
        <v>0.5</v>
      </c>
      <c r="H6">
        <v>6</v>
      </c>
      <c r="I6" t="s">
        <v>45</v>
      </c>
      <c r="J6">
        <v>0</v>
      </c>
      <c r="K6">
        <v>0</v>
      </c>
      <c r="L6">
        <v>0</v>
      </c>
      <c r="M6">
        <v>0</v>
      </c>
      <c r="O6">
        <v>0</v>
      </c>
      <c r="P6">
        <v>0</v>
      </c>
      <c r="Q6">
        <v>48</v>
      </c>
      <c r="R6">
        <v>0</v>
      </c>
      <c r="AI6">
        <v>0</v>
      </c>
      <c r="AJ6">
        <v>0</v>
      </c>
      <c r="AK6">
        <v>24</v>
      </c>
      <c r="AL6">
        <v>0</v>
      </c>
      <c r="AM6" t="s">
        <v>51</v>
      </c>
    </row>
    <row r="7" spans="1:39" x14ac:dyDescent="0.35">
      <c r="A7" t="s">
        <v>44</v>
      </c>
      <c r="B7">
        <v>9586849</v>
      </c>
      <c r="C7" t="s">
        <v>47</v>
      </c>
      <c r="D7" s="1">
        <v>46190</v>
      </c>
      <c r="E7" s="2">
        <v>0.5</v>
      </c>
      <c r="F7" s="1">
        <v>46191</v>
      </c>
      <c r="G7" s="2">
        <v>0.5</v>
      </c>
      <c r="H7">
        <v>6</v>
      </c>
      <c r="I7" t="s">
        <v>45</v>
      </c>
      <c r="J7">
        <v>1</v>
      </c>
      <c r="K7">
        <v>0</v>
      </c>
      <c r="L7">
        <v>1</v>
      </c>
      <c r="M7">
        <v>0</v>
      </c>
      <c r="O7">
        <v>0</v>
      </c>
      <c r="P7">
        <v>0</v>
      </c>
      <c r="Q7">
        <v>24</v>
      </c>
      <c r="R7">
        <v>0</v>
      </c>
      <c r="AI7">
        <v>0</v>
      </c>
      <c r="AJ7">
        <v>0</v>
      </c>
      <c r="AK7">
        <v>24</v>
      </c>
      <c r="AL7">
        <v>0</v>
      </c>
      <c r="AM7" t="s">
        <v>52</v>
      </c>
    </row>
    <row r="8" spans="1:39" x14ac:dyDescent="0.35">
      <c r="A8" t="s">
        <v>44</v>
      </c>
      <c r="B8">
        <v>9586849</v>
      </c>
      <c r="C8" t="s">
        <v>47</v>
      </c>
      <c r="D8" s="1">
        <v>46192</v>
      </c>
      <c r="E8" s="2">
        <v>0.5</v>
      </c>
      <c r="F8" s="1">
        <v>46193</v>
      </c>
      <c r="G8" s="2">
        <v>0.5</v>
      </c>
      <c r="H8">
        <v>6</v>
      </c>
      <c r="I8" t="s">
        <v>45</v>
      </c>
      <c r="J8">
        <v>0</v>
      </c>
      <c r="K8">
        <v>0</v>
      </c>
      <c r="L8">
        <v>0</v>
      </c>
      <c r="M8">
        <v>0</v>
      </c>
      <c r="O8">
        <v>0</v>
      </c>
      <c r="P8">
        <v>0</v>
      </c>
      <c r="Q8">
        <v>24</v>
      </c>
      <c r="R8">
        <v>0</v>
      </c>
      <c r="AI8">
        <v>0</v>
      </c>
      <c r="AJ8">
        <v>0</v>
      </c>
      <c r="AK8">
        <v>0</v>
      </c>
      <c r="AL8">
        <v>0</v>
      </c>
      <c r="AM8" t="s">
        <v>53</v>
      </c>
    </row>
    <row r="9" spans="1:39" x14ac:dyDescent="0.35">
      <c r="A9" t="s">
        <v>44</v>
      </c>
      <c r="B9">
        <v>9586849</v>
      </c>
      <c r="C9" t="s">
        <v>54</v>
      </c>
      <c r="D9" s="1">
        <v>46193</v>
      </c>
      <c r="E9" s="2">
        <v>0.5</v>
      </c>
      <c r="F9" s="1">
        <v>46193</v>
      </c>
      <c r="G9" s="2">
        <v>0.83333333333333337</v>
      </c>
      <c r="H9">
        <v>5</v>
      </c>
      <c r="I9" t="s">
        <v>45</v>
      </c>
      <c r="J9">
        <v>6</v>
      </c>
      <c r="K9">
        <v>0</v>
      </c>
      <c r="L9">
        <v>6</v>
      </c>
      <c r="M9">
        <v>2151</v>
      </c>
      <c r="N9">
        <v>70</v>
      </c>
      <c r="O9">
        <v>22</v>
      </c>
      <c r="P9">
        <v>1.5</v>
      </c>
      <c r="Q9">
        <v>8</v>
      </c>
      <c r="R9">
        <v>0.6</v>
      </c>
      <c r="AI9">
        <v>185.96001860000001</v>
      </c>
      <c r="AJ9">
        <v>0</v>
      </c>
      <c r="AK9">
        <v>8</v>
      </c>
      <c r="AL9">
        <v>0</v>
      </c>
      <c r="AM9" t="s">
        <v>55</v>
      </c>
    </row>
    <row r="10" spans="1:39" x14ac:dyDescent="0.35">
      <c r="A10" t="s">
        <v>44</v>
      </c>
      <c r="B10">
        <v>9586849</v>
      </c>
      <c r="C10" t="s">
        <v>47</v>
      </c>
      <c r="D10" s="1">
        <v>46194</v>
      </c>
      <c r="E10" s="2">
        <v>0.47916666666666669</v>
      </c>
      <c r="F10" s="1">
        <v>46194</v>
      </c>
      <c r="G10" s="2">
        <v>0.5</v>
      </c>
      <c r="H10">
        <v>6</v>
      </c>
      <c r="I10" t="s">
        <v>45</v>
      </c>
      <c r="J10">
        <v>0</v>
      </c>
      <c r="K10">
        <v>0</v>
      </c>
      <c r="L10">
        <v>0</v>
      </c>
      <c r="M10">
        <v>0</v>
      </c>
      <c r="O10">
        <v>0</v>
      </c>
      <c r="P10">
        <v>0</v>
      </c>
      <c r="Q10">
        <v>0.5</v>
      </c>
      <c r="R10">
        <v>0</v>
      </c>
      <c r="AI10">
        <v>0</v>
      </c>
      <c r="AJ10">
        <v>0</v>
      </c>
      <c r="AK10">
        <v>0.5</v>
      </c>
      <c r="AL10">
        <v>0</v>
      </c>
      <c r="AM10" t="s">
        <v>56</v>
      </c>
    </row>
    <row r="11" spans="1:39" x14ac:dyDescent="0.35">
      <c r="A11" t="s">
        <v>57</v>
      </c>
      <c r="B11">
        <v>9504607</v>
      </c>
      <c r="C11" t="s">
        <v>40</v>
      </c>
      <c r="D11" s="1">
        <v>46188</v>
      </c>
      <c r="E11" s="2">
        <v>0.5</v>
      </c>
      <c r="F11" s="1">
        <v>46189</v>
      </c>
      <c r="G11" s="2">
        <v>0.5</v>
      </c>
      <c r="H11">
        <v>36</v>
      </c>
      <c r="I11" t="s">
        <v>58</v>
      </c>
      <c r="J11">
        <v>297</v>
      </c>
      <c r="K11">
        <v>1.5</v>
      </c>
      <c r="L11">
        <v>297</v>
      </c>
      <c r="M11">
        <v>4450.88</v>
      </c>
      <c r="N11">
        <v>66.7</v>
      </c>
      <c r="O11">
        <v>25.9</v>
      </c>
      <c r="P11">
        <v>25.5</v>
      </c>
      <c r="Q11">
        <v>22.5</v>
      </c>
      <c r="R11">
        <v>27.2</v>
      </c>
      <c r="S11">
        <v>337</v>
      </c>
      <c r="T11">
        <v>308</v>
      </c>
      <c r="U11">
        <v>322</v>
      </c>
      <c r="V11">
        <v>310</v>
      </c>
      <c r="W11">
        <v>309</v>
      </c>
      <c r="X11">
        <v>309</v>
      </c>
      <c r="AI11">
        <v>239.65298250000001</v>
      </c>
      <c r="AJ11">
        <v>1.062579033</v>
      </c>
      <c r="AK11">
        <v>25.5</v>
      </c>
      <c r="AL11">
        <v>134</v>
      </c>
      <c r="AM11" t="s">
        <v>59</v>
      </c>
    </row>
    <row r="12" spans="1:39" x14ac:dyDescent="0.35">
      <c r="A12" t="s">
        <v>57</v>
      </c>
      <c r="B12">
        <v>9504607</v>
      </c>
      <c r="C12" t="s">
        <v>40</v>
      </c>
      <c r="D12" s="1">
        <v>46189</v>
      </c>
      <c r="E12" s="2">
        <v>0.5</v>
      </c>
      <c r="F12" s="1">
        <v>46190</v>
      </c>
      <c r="G12" s="2">
        <v>0.5</v>
      </c>
      <c r="H12">
        <v>36</v>
      </c>
      <c r="I12" t="s">
        <v>45</v>
      </c>
      <c r="J12">
        <v>271</v>
      </c>
      <c r="K12">
        <v>0</v>
      </c>
      <c r="L12">
        <v>271</v>
      </c>
      <c r="M12">
        <v>4450.88</v>
      </c>
      <c r="N12">
        <v>61.8</v>
      </c>
      <c r="O12">
        <v>20.55</v>
      </c>
      <c r="P12">
        <v>24</v>
      </c>
      <c r="Q12">
        <v>24</v>
      </c>
      <c r="R12">
        <v>21.5</v>
      </c>
      <c r="S12">
        <v>337</v>
      </c>
      <c r="T12">
        <v>299</v>
      </c>
      <c r="U12">
        <v>313</v>
      </c>
      <c r="V12">
        <v>300</v>
      </c>
      <c r="W12">
        <v>297</v>
      </c>
      <c r="X12">
        <v>305</v>
      </c>
      <c r="AI12">
        <v>201.27105950000001</v>
      </c>
      <c r="AJ12">
        <v>0.91835771799999999</v>
      </c>
      <c r="AK12">
        <v>24</v>
      </c>
      <c r="AL12">
        <v>109</v>
      </c>
      <c r="AM12" t="s">
        <v>60</v>
      </c>
    </row>
    <row r="13" spans="1:39" x14ac:dyDescent="0.35">
      <c r="A13" t="s">
        <v>57</v>
      </c>
      <c r="B13">
        <v>9504607</v>
      </c>
      <c r="C13" t="s">
        <v>40</v>
      </c>
      <c r="D13" s="1">
        <v>46190</v>
      </c>
      <c r="E13" s="2">
        <v>0.5</v>
      </c>
      <c r="F13" s="1">
        <v>46191</v>
      </c>
      <c r="G13" s="2">
        <v>0.5</v>
      </c>
      <c r="H13">
        <v>36</v>
      </c>
      <c r="I13" t="s">
        <v>45</v>
      </c>
      <c r="J13">
        <v>279</v>
      </c>
      <c r="K13">
        <v>0</v>
      </c>
      <c r="L13">
        <v>279</v>
      </c>
      <c r="M13">
        <v>4534.42</v>
      </c>
      <c r="N13">
        <v>63.9</v>
      </c>
      <c r="O13">
        <v>20.93</v>
      </c>
      <c r="P13">
        <v>24</v>
      </c>
      <c r="Q13">
        <v>24</v>
      </c>
      <c r="R13">
        <v>24.532</v>
      </c>
      <c r="S13">
        <v>329</v>
      </c>
      <c r="T13">
        <v>296</v>
      </c>
      <c r="U13">
        <v>312</v>
      </c>
      <c r="V13">
        <v>301</v>
      </c>
      <c r="W13">
        <v>296</v>
      </c>
      <c r="X13">
        <v>308</v>
      </c>
      <c r="AI13">
        <v>225.42390570000001</v>
      </c>
      <c r="AJ13">
        <v>0.93451863700000004</v>
      </c>
      <c r="AK13">
        <v>6.3</v>
      </c>
      <c r="AL13">
        <v>113</v>
      </c>
      <c r="AM13" t="s">
        <v>61</v>
      </c>
    </row>
    <row r="14" spans="1:39" x14ac:dyDescent="0.35">
      <c r="A14" t="s">
        <v>57</v>
      </c>
      <c r="B14">
        <v>9504607</v>
      </c>
      <c r="C14" t="s">
        <v>40</v>
      </c>
      <c r="D14" s="1">
        <v>46191</v>
      </c>
      <c r="E14" s="2">
        <v>0.5</v>
      </c>
      <c r="F14" s="1">
        <v>46192</v>
      </c>
      <c r="G14" s="2">
        <v>0.5</v>
      </c>
      <c r="H14">
        <v>36</v>
      </c>
      <c r="I14" t="s">
        <v>45</v>
      </c>
      <c r="J14">
        <v>263</v>
      </c>
      <c r="K14">
        <v>0</v>
      </c>
      <c r="L14">
        <v>263</v>
      </c>
      <c r="M14">
        <v>4528.83</v>
      </c>
      <c r="N14">
        <v>64.8</v>
      </c>
      <c r="O14">
        <v>20.91</v>
      </c>
      <c r="P14">
        <v>24</v>
      </c>
      <c r="Q14">
        <v>24</v>
      </c>
      <c r="R14">
        <v>24.4</v>
      </c>
      <c r="S14">
        <v>330</v>
      </c>
      <c r="T14">
        <v>300</v>
      </c>
      <c r="U14">
        <v>318</v>
      </c>
      <c r="V14">
        <v>301</v>
      </c>
      <c r="W14">
        <v>301</v>
      </c>
      <c r="X14">
        <v>312</v>
      </c>
      <c r="AI14">
        <v>224.487708</v>
      </c>
      <c r="AJ14">
        <v>0.93567212700000002</v>
      </c>
      <c r="AK14">
        <v>0</v>
      </c>
      <c r="AL14">
        <v>113</v>
      </c>
      <c r="AM14" t="s">
        <v>62</v>
      </c>
    </row>
    <row r="15" spans="1:39" x14ac:dyDescent="0.35">
      <c r="A15" t="s">
        <v>57</v>
      </c>
      <c r="B15">
        <v>9504607</v>
      </c>
      <c r="C15" t="s">
        <v>40</v>
      </c>
      <c r="D15" s="1">
        <v>46192</v>
      </c>
      <c r="E15" s="2">
        <v>0.5</v>
      </c>
      <c r="F15" s="1">
        <v>46193</v>
      </c>
      <c r="G15" s="2">
        <v>0.5</v>
      </c>
      <c r="H15">
        <v>36</v>
      </c>
      <c r="I15" t="s">
        <v>45</v>
      </c>
      <c r="J15">
        <v>288</v>
      </c>
      <c r="K15">
        <v>0</v>
      </c>
      <c r="L15">
        <v>288</v>
      </c>
      <c r="M15">
        <v>4569.92</v>
      </c>
      <c r="N15">
        <v>65.099999999999994</v>
      </c>
      <c r="O15">
        <v>21.1</v>
      </c>
      <c r="P15">
        <v>24</v>
      </c>
      <c r="Q15">
        <v>24</v>
      </c>
      <c r="R15">
        <v>24.22</v>
      </c>
      <c r="S15">
        <v>327</v>
      </c>
      <c r="T15">
        <v>295</v>
      </c>
      <c r="U15">
        <v>313</v>
      </c>
      <c r="V15">
        <v>293</v>
      </c>
      <c r="W15">
        <v>300</v>
      </c>
      <c r="X15">
        <v>308</v>
      </c>
      <c r="AI15">
        <v>220.82808159999999</v>
      </c>
      <c r="AJ15">
        <v>0.92725912099999996</v>
      </c>
      <c r="AK15">
        <v>0</v>
      </c>
      <c r="AL15">
        <v>113</v>
      </c>
      <c r="AM15" t="s">
        <v>63</v>
      </c>
    </row>
    <row r="16" spans="1:39" x14ac:dyDescent="0.35">
      <c r="A16" t="s">
        <v>57</v>
      </c>
      <c r="B16">
        <v>9504607</v>
      </c>
      <c r="C16" t="s">
        <v>40</v>
      </c>
      <c r="D16" s="1">
        <v>46193</v>
      </c>
      <c r="E16" s="2">
        <v>0.5</v>
      </c>
      <c r="F16" s="1">
        <v>46194</v>
      </c>
      <c r="G16" s="2">
        <v>0.5</v>
      </c>
      <c r="H16">
        <v>36</v>
      </c>
      <c r="I16" t="s">
        <v>45</v>
      </c>
      <c r="J16">
        <v>314</v>
      </c>
      <c r="K16">
        <v>0</v>
      </c>
      <c r="L16">
        <v>314</v>
      </c>
      <c r="M16">
        <v>4654.96</v>
      </c>
      <c r="N16">
        <v>66.599999999999994</v>
      </c>
      <c r="O16">
        <v>21.49</v>
      </c>
      <c r="P16">
        <v>24</v>
      </c>
      <c r="Q16">
        <v>24</v>
      </c>
      <c r="R16">
        <v>25.9</v>
      </c>
      <c r="S16">
        <v>328</v>
      </c>
      <c r="T16">
        <v>294</v>
      </c>
      <c r="U16">
        <v>309</v>
      </c>
      <c r="V16">
        <v>284</v>
      </c>
      <c r="W16">
        <v>288</v>
      </c>
      <c r="X16">
        <v>304</v>
      </c>
      <c r="AI16">
        <v>231.83156600000001</v>
      </c>
      <c r="AJ16">
        <v>0.90226339200000005</v>
      </c>
      <c r="AK16">
        <v>0</v>
      </c>
      <c r="AL16">
        <v>112</v>
      </c>
      <c r="AM16" t="s">
        <v>64</v>
      </c>
    </row>
    <row r="17" spans="1:39" x14ac:dyDescent="0.35">
      <c r="A17" t="s">
        <v>65</v>
      </c>
      <c r="B17">
        <v>9436111</v>
      </c>
      <c r="C17" t="s">
        <v>40</v>
      </c>
      <c r="D17" s="1">
        <v>46187</v>
      </c>
      <c r="E17" s="2">
        <v>0.5</v>
      </c>
      <c r="F17" s="1">
        <v>46188</v>
      </c>
      <c r="G17" s="2">
        <v>0.5</v>
      </c>
      <c r="H17">
        <v>32</v>
      </c>
      <c r="I17" t="s">
        <v>66</v>
      </c>
      <c r="J17">
        <v>276</v>
      </c>
      <c r="K17">
        <v>0</v>
      </c>
      <c r="L17">
        <v>271</v>
      </c>
      <c r="M17">
        <v>4600</v>
      </c>
      <c r="N17">
        <v>93</v>
      </c>
      <c r="O17">
        <v>68</v>
      </c>
      <c r="P17">
        <v>24</v>
      </c>
      <c r="Q17">
        <v>24</v>
      </c>
      <c r="R17">
        <v>20.8</v>
      </c>
      <c r="S17">
        <v>345</v>
      </c>
      <c r="T17">
        <v>347</v>
      </c>
      <c r="U17">
        <v>344</v>
      </c>
      <c r="V17">
        <v>346</v>
      </c>
      <c r="W17">
        <v>344</v>
      </c>
      <c r="X17">
        <v>347</v>
      </c>
      <c r="AI17">
        <v>188.4057971</v>
      </c>
      <c r="AJ17">
        <v>0.92934782599999999</v>
      </c>
      <c r="AK17">
        <v>24</v>
      </c>
      <c r="AL17">
        <v>114</v>
      </c>
      <c r="AM17" t="s">
        <v>67</v>
      </c>
    </row>
    <row r="18" spans="1:39" x14ac:dyDescent="0.35">
      <c r="A18" t="s">
        <v>65</v>
      </c>
      <c r="B18">
        <v>9436111</v>
      </c>
      <c r="C18" t="s">
        <v>40</v>
      </c>
      <c r="D18" s="1">
        <v>46188</v>
      </c>
      <c r="E18" s="2">
        <v>0.5</v>
      </c>
      <c r="F18" s="1">
        <v>46189</v>
      </c>
      <c r="G18" s="2">
        <v>0.5</v>
      </c>
      <c r="H18">
        <v>32</v>
      </c>
      <c r="I18" t="s">
        <v>45</v>
      </c>
      <c r="J18">
        <v>282</v>
      </c>
      <c r="K18">
        <v>0</v>
      </c>
      <c r="L18">
        <v>279</v>
      </c>
      <c r="M18">
        <v>4500</v>
      </c>
      <c r="N18">
        <v>93</v>
      </c>
      <c r="O18">
        <v>68</v>
      </c>
      <c r="P18">
        <v>24</v>
      </c>
      <c r="Q18">
        <v>24</v>
      </c>
      <c r="R18">
        <v>20.7</v>
      </c>
      <c r="S18">
        <v>344</v>
      </c>
      <c r="T18">
        <v>341</v>
      </c>
      <c r="U18">
        <v>344</v>
      </c>
      <c r="V18">
        <v>342</v>
      </c>
      <c r="W18">
        <v>344</v>
      </c>
      <c r="X18">
        <v>347</v>
      </c>
      <c r="AI18">
        <v>191.66666670000001</v>
      </c>
      <c r="AJ18">
        <v>0.93333333299999999</v>
      </c>
      <c r="AK18">
        <v>24</v>
      </c>
      <c r="AL18">
        <v>112</v>
      </c>
      <c r="AM18" t="s">
        <v>67</v>
      </c>
    </row>
    <row r="19" spans="1:39" x14ac:dyDescent="0.35">
      <c r="A19" t="s">
        <v>65</v>
      </c>
      <c r="B19">
        <v>9436111</v>
      </c>
      <c r="C19" t="s">
        <v>40</v>
      </c>
      <c r="D19" s="1">
        <v>46189</v>
      </c>
      <c r="E19" s="2">
        <v>0.5</v>
      </c>
      <c r="F19" s="1">
        <v>46190</v>
      </c>
      <c r="G19" s="2">
        <v>0.5</v>
      </c>
      <c r="H19">
        <v>32</v>
      </c>
      <c r="I19" t="s">
        <v>66</v>
      </c>
      <c r="J19">
        <v>277</v>
      </c>
      <c r="K19">
        <v>0</v>
      </c>
      <c r="L19">
        <v>282</v>
      </c>
      <c r="M19">
        <v>4490</v>
      </c>
      <c r="N19">
        <v>93</v>
      </c>
      <c r="O19">
        <v>67</v>
      </c>
      <c r="P19">
        <v>24</v>
      </c>
      <c r="Q19">
        <v>24</v>
      </c>
      <c r="R19">
        <v>20.5</v>
      </c>
      <c r="S19">
        <v>345</v>
      </c>
      <c r="T19">
        <v>347</v>
      </c>
      <c r="U19">
        <v>343</v>
      </c>
      <c r="V19">
        <v>345</v>
      </c>
      <c r="W19">
        <v>347</v>
      </c>
      <c r="X19">
        <v>344</v>
      </c>
      <c r="AI19">
        <v>190.23756499999999</v>
      </c>
      <c r="AJ19">
        <v>0.92706013399999998</v>
      </c>
      <c r="AK19">
        <v>2</v>
      </c>
      <c r="AL19">
        <v>111</v>
      </c>
      <c r="AM19" t="s">
        <v>68</v>
      </c>
    </row>
    <row r="20" spans="1:39" x14ac:dyDescent="0.35">
      <c r="A20" t="s">
        <v>65</v>
      </c>
      <c r="B20">
        <v>9436111</v>
      </c>
      <c r="C20" t="s">
        <v>40</v>
      </c>
      <c r="D20" s="1">
        <v>46190</v>
      </c>
      <c r="E20" s="2">
        <v>0.5</v>
      </c>
      <c r="F20" s="1">
        <v>46191</v>
      </c>
      <c r="G20" s="2">
        <v>0.5</v>
      </c>
      <c r="H20">
        <v>32</v>
      </c>
      <c r="I20" t="s">
        <v>66</v>
      </c>
      <c r="J20">
        <v>276</v>
      </c>
      <c r="K20">
        <v>0</v>
      </c>
      <c r="L20">
        <v>272</v>
      </c>
      <c r="M20">
        <v>4510</v>
      </c>
      <c r="N20">
        <v>93</v>
      </c>
      <c r="O20">
        <v>66</v>
      </c>
      <c r="P20">
        <v>24</v>
      </c>
      <c r="Q20">
        <v>24</v>
      </c>
      <c r="R20">
        <v>20.5</v>
      </c>
      <c r="S20">
        <v>344</v>
      </c>
      <c r="T20">
        <v>347</v>
      </c>
      <c r="U20">
        <v>345</v>
      </c>
      <c r="V20">
        <v>348</v>
      </c>
      <c r="W20">
        <v>343</v>
      </c>
      <c r="X20">
        <v>347</v>
      </c>
      <c r="AI20">
        <v>189.39393939999999</v>
      </c>
      <c r="AJ20">
        <v>0.92294900199999996</v>
      </c>
      <c r="AK20">
        <v>0</v>
      </c>
      <c r="AL20">
        <v>111</v>
      </c>
      <c r="AM20" t="s">
        <v>67</v>
      </c>
    </row>
    <row r="21" spans="1:39" x14ac:dyDescent="0.35">
      <c r="A21" t="s">
        <v>69</v>
      </c>
      <c r="B21">
        <v>9634672</v>
      </c>
      <c r="C21" t="s">
        <v>40</v>
      </c>
      <c r="D21" s="1">
        <v>46190</v>
      </c>
      <c r="E21" s="2">
        <v>0.5</v>
      </c>
      <c r="F21" s="1">
        <v>46191</v>
      </c>
      <c r="G21" s="2">
        <v>0.5</v>
      </c>
      <c r="H21">
        <v>1</v>
      </c>
      <c r="I21" t="s">
        <v>45</v>
      </c>
      <c r="J21">
        <v>330</v>
      </c>
      <c r="K21">
        <v>1.5</v>
      </c>
      <c r="L21">
        <v>376</v>
      </c>
      <c r="M21">
        <v>6060.6</v>
      </c>
      <c r="N21">
        <v>85.2</v>
      </c>
      <c r="O21">
        <v>41.7</v>
      </c>
      <c r="P21">
        <v>25.3</v>
      </c>
      <c r="Q21">
        <v>22.5</v>
      </c>
      <c r="R21">
        <v>37.4</v>
      </c>
      <c r="S21">
        <v>402</v>
      </c>
      <c r="T21">
        <v>395</v>
      </c>
      <c r="U21">
        <v>381</v>
      </c>
      <c r="V21">
        <v>372</v>
      </c>
      <c r="W21">
        <v>409</v>
      </c>
      <c r="X21">
        <v>417</v>
      </c>
      <c r="AI21">
        <v>243.9132874</v>
      </c>
      <c r="AJ21">
        <v>0.67500067500000005</v>
      </c>
      <c r="AK21">
        <v>0</v>
      </c>
      <c r="AL21">
        <v>115</v>
      </c>
      <c r="AM21" t="s">
        <v>70</v>
      </c>
    </row>
    <row r="22" spans="1:39" x14ac:dyDescent="0.35">
      <c r="A22" t="s">
        <v>69</v>
      </c>
      <c r="B22">
        <v>9634672</v>
      </c>
      <c r="C22" t="s">
        <v>40</v>
      </c>
      <c r="D22" s="1">
        <v>46191</v>
      </c>
      <c r="E22" s="2">
        <v>0.5</v>
      </c>
      <c r="F22" s="1">
        <v>46192</v>
      </c>
      <c r="G22" s="2">
        <v>0.5</v>
      </c>
      <c r="H22">
        <v>1</v>
      </c>
      <c r="I22" t="s">
        <v>45</v>
      </c>
      <c r="J22">
        <v>290</v>
      </c>
      <c r="K22">
        <v>0</v>
      </c>
      <c r="L22">
        <v>335</v>
      </c>
      <c r="M22">
        <v>6297.4</v>
      </c>
      <c r="N22">
        <v>86.3</v>
      </c>
      <c r="O22">
        <v>43.4</v>
      </c>
      <c r="P22">
        <v>24</v>
      </c>
      <c r="Q22">
        <v>24</v>
      </c>
      <c r="R22">
        <v>38.4</v>
      </c>
      <c r="S22">
        <v>402</v>
      </c>
      <c r="T22">
        <v>390</v>
      </c>
      <c r="U22">
        <v>392</v>
      </c>
      <c r="V22">
        <v>372</v>
      </c>
      <c r="W22">
        <v>408</v>
      </c>
      <c r="X22">
        <v>415</v>
      </c>
      <c r="AI22">
        <v>254.07310949999999</v>
      </c>
      <c r="AJ22">
        <v>0.74435481299999995</v>
      </c>
      <c r="AK22">
        <v>22</v>
      </c>
      <c r="AL22">
        <v>125</v>
      </c>
      <c r="AM22" t="s">
        <v>71</v>
      </c>
    </row>
    <row r="23" spans="1:39" x14ac:dyDescent="0.35">
      <c r="A23" t="s">
        <v>69</v>
      </c>
      <c r="B23">
        <v>9634672</v>
      </c>
      <c r="C23" t="s">
        <v>40</v>
      </c>
      <c r="D23" s="1">
        <v>46192</v>
      </c>
      <c r="E23" s="2">
        <v>0.5</v>
      </c>
      <c r="F23" s="1">
        <v>46193</v>
      </c>
      <c r="G23" s="2">
        <v>0.5</v>
      </c>
      <c r="H23">
        <v>1</v>
      </c>
      <c r="I23" t="s">
        <v>45</v>
      </c>
      <c r="J23">
        <v>272</v>
      </c>
      <c r="K23">
        <v>0</v>
      </c>
      <c r="L23">
        <v>316</v>
      </c>
      <c r="M23">
        <v>6279.1</v>
      </c>
      <c r="N23">
        <v>86.2</v>
      </c>
      <c r="O23">
        <v>43.2</v>
      </c>
      <c r="P23">
        <v>24</v>
      </c>
      <c r="Q23">
        <v>24</v>
      </c>
      <c r="R23">
        <v>39.200000000000003</v>
      </c>
      <c r="S23">
        <v>409</v>
      </c>
      <c r="T23">
        <v>394</v>
      </c>
      <c r="U23">
        <v>398</v>
      </c>
      <c r="V23">
        <v>390</v>
      </c>
      <c r="W23">
        <v>418</v>
      </c>
      <c r="X23">
        <v>416</v>
      </c>
      <c r="AI23">
        <v>260.12220430000002</v>
      </c>
      <c r="AJ23">
        <v>0.80624611800000001</v>
      </c>
      <c r="AK23">
        <v>24</v>
      </c>
      <c r="AL23">
        <v>135</v>
      </c>
      <c r="AM23" t="s">
        <v>72</v>
      </c>
    </row>
    <row r="24" spans="1:39" x14ac:dyDescent="0.35">
      <c r="A24" t="s">
        <v>69</v>
      </c>
      <c r="B24">
        <v>9634672</v>
      </c>
      <c r="C24" t="s">
        <v>40</v>
      </c>
      <c r="D24" s="1">
        <v>46193</v>
      </c>
      <c r="E24" s="2">
        <v>0.5</v>
      </c>
      <c r="F24" s="1">
        <v>46194</v>
      </c>
      <c r="G24" s="2">
        <v>0.5</v>
      </c>
      <c r="H24">
        <v>1</v>
      </c>
      <c r="I24" t="s">
        <v>45</v>
      </c>
      <c r="J24">
        <v>269</v>
      </c>
      <c r="K24">
        <v>0</v>
      </c>
      <c r="L24">
        <v>325</v>
      </c>
      <c r="M24">
        <v>6130.1</v>
      </c>
      <c r="N24">
        <v>85.5</v>
      </c>
      <c r="O24">
        <v>42.2</v>
      </c>
      <c r="P24">
        <v>24</v>
      </c>
      <c r="Q24">
        <v>24</v>
      </c>
      <c r="R24">
        <v>36</v>
      </c>
      <c r="S24">
        <v>400</v>
      </c>
      <c r="T24">
        <v>388</v>
      </c>
      <c r="U24">
        <v>387</v>
      </c>
      <c r="V24">
        <v>384</v>
      </c>
      <c r="W24">
        <v>414</v>
      </c>
      <c r="X24">
        <v>420</v>
      </c>
      <c r="AI24">
        <v>244.6942138</v>
      </c>
      <c r="AJ24">
        <v>0.85642974800000005</v>
      </c>
      <c r="AK24">
        <v>3</v>
      </c>
      <c r="AL24">
        <v>140</v>
      </c>
      <c r="AM24" t="s">
        <v>73</v>
      </c>
    </row>
    <row r="25" spans="1:39" x14ac:dyDescent="0.35">
      <c r="A25" t="s">
        <v>74</v>
      </c>
      <c r="B25">
        <v>9464314</v>
      </c>
      <c r="C25" t="s">
        <v>40</v>
      </c>
      <c r="D25" s="1">
        <v>46187</v>
      </c>
      <c r="E25" s="2">
        <v>0.5</v>
      </c>
      <c r="F25" s="1">
        <v>46188</v>
      </c>
      <c r="G25" s="2">
        <v>0.5</v>
      </c>
      <c r="H25" t="s">
        <v>75</v>
      </c>
      <c r="I25" t="s">
        <v>42</v>
      </c>
      <c r="J25">
        <v>376</v>
      </c>
      <c r="K25">
        <v>1</v>
      </c>
      <c r="L25">
        <v>351</v>
      </c>
      <c r="M25">
        <v>41584</v>
      </c>
      <c r="N25">
        <v>74</v>
      </c>
      <c r="O25">
        <v>46</v>
      </c>
      <c r="P25">
        <v>25</v>
      </c>
      <c r="Q25">
        <v>23</v>
      </c>
      <c r="R25">
        <v>72</v>
      </c>
      <c r="S25">
        <v>366</v>
      </c>
      <c r="T25">
        <v>400</v>
      </c>
      <c r="U25">
        <v>378</v>
      </c>
      <c r="V25">
        <v>374</v>
      </c>
      <c r="W25">
        <v>380</v>
      </c>
      <c r="X25">
        <v>366</v>
      </c>
      <c r="Y25">
        <v>377</v>
      </c>
      <c r="Z25">
        <v>377</v>
      </c>
      <c r="AI25">
        <v>69.257406689999996</v>
      </c>
      <c r="AJ25">
        <v>0.424201616</v>
      </c>
      <c r="AK25">
        <v>0</v>
      </c>
      <c r="AL25">
        <v>490</v>
      </c>
      <c r="AM25" t="s">
        <v>76</v>
      </c>
    </row>
    <row r="26" spans="1:39" x14ac:dyDescent="0.35">
      <c r="A26" t="s">
        <v>74</v>
      </c>
      <c r="B26">
        <v>9464314</v>
      </c>
      <c r="C26" t="s">
        <v>40</v>
      </c>
      <c r="D26" s="1">
        <v>46189</v>
      </c>
      <c r="E26" s="2">
        <v>0.5</v>
      </c>
      <c r="F26" s="1">
        <v>46190</v>
      </c>
      <c r="G26" s="2">
        <v>2.0833333333333332E-2</v>
      </c>
      <c r="H26" t="s">
        <v>75</v>
      </c>
      <c r="I26" t="s">
        <v>42</v>
      </c>
      <c r="J26">
        <v>132</v>
      </c>
      <c r="K26">
        <v>0</v>
      </c>
      <c r="L26">
        <v>140</v>
      </c>
      <c r="M26">
        <v>98900</v>
      </c>
      <c r="N26">
        <v>61</v>
      </c>
      <c r="O26">
        <v>23</v>
      </c>
      <c r="P26">
        <v>12.5</v>
      </c>
      <c r="Q26">
        <v>12.5</v>
      </c>
      <c r="R26">
        <v>19.100000000000001</v>
      </c>
      <c r="S26">
        <v>310</v>
      </c>
      <c r="T26">
        <v>320</v>
      </c>
      <c r="U26">
        <v>287</v>
      </c>
      <c r="V26">
        <v>292</v>
      </c>
      <c r="W26">
        <v>275</v>
      </c>
      <c r="X26">
        <v>285</v>
      </c>
      <c r="Y26">
        <v>305</v>
      </c>
      <c r="Z26">
        <v>300</v>
      </c>
      <c r="AI26">
        <v>15.449949439999999</v>
      </c>
      <c r="AJ26">
        <v>8.7360970999999996E-2</v>
      </c>
      <c r="AK26">
        <v>0</v>
      </c>
      <c r="AL26">
        <v>120</v>
      </c>
      <c r="AM26" t="s">
        <v>77</v>
      </c>
    </row>
    <row r="27" spans="1:39" x14ac:dyDescent="0.35">
      <c r="A27" t="s">
        <v>78</v>
      </c>
      <c r="B27">
        <v>9395343</v>
      </c>
      <c r="C27" t="s">
        <v>40</v>
      </c>
      <c r="D27" s="1">
        <v>46189</v>
      </c>
      <c r="E27" s="2">
        <v>0.5</v>
      </c>
      <c r="F27" s="1">
        <v>46190</v>
      </c>
      <c r="G27" s="2">
        <v>0.5</v>
      </c>
      <c r="H27" t="s">
        <v>79</v>
      </c>
      <c r="I27" t="s">
        <v>42</v>
      </c>
      <c r="J27">
        <v>392</v>
      </c>
      <c r="K27">
        <v>2</v>
      </c>
      <c r="L27">
        <v>392</v>
      </c>
      <c r="M27">
        <v>7200</v>
      </c>
      <c r="N27">
        <v>500</v>
      </c>
      <c r="O27">
        <v>65</v>
      </c>
      <c r="P27">
        <v>24</v>
      </c>
      <c r="Q27">
        <v>22</v>
      </c>
      <c r="R27">
        <v>49.3</v>
      </c>
      <c r="S27">
        <v>358</v>
      </c>
      <c r="T27">
        <v>360</v>
      </c>
      <c r="U27">
        <v>358</v>
      </c>
      <c r="V27">
        <v>360</v>
      </c>
      <c r="W27">
        <v>358</v>
      </c>
      <c r="X27">
        <v>360</v>
      </c>
      <c r="Y27">
        <v>358</v>
      </c>
      <c r="Z27">
        <v>358</v>
      </c>
      <c r="AI27">
        <v>285.30092589999998</v>
      </c>
      <c r="AJ27">
        <v>0</v>
      </c>
      <c r="AK27">
        <v>0</v>
      </c>
      <c r="AL27">
        <v>0</v>
      </c>
      <c r="AM27" t="s">
        <v>80</v>
      </c>
    </row>
    <row r="28" spans="1:39" x14ac:dyDescent="0.35">
      <c r="A28" t="s">
        <v>78</v>
      </c>
      <c r="B28">
        <v>9395343</v>
      </c>
      <c r="C28" t="s">
        <v>40</v>
      </c>
      <c r="D28" s="1">
        <v>46190</v>
      </c>
      <c r="E28" s="2">
        <v>0.5</v>
      </c>
      <c r="F28" s="1">
        <v>46191</v>
      </c>
      <c r="G28" s="2">
        <v>0.5</v>
      </c>
      <c r="H28" t="s">
        <v>79</v>
      </c>
      <c r="I28" t="s">
        <v>42</v>
      </c>
      <c r="J28">
        <v>409</v>
      </c>
      <c r="K28">
        <v>0</v>
      </c>
      <c r="L28">
        <v>409</v>
      </c>
      <c r="M28">
        <v>6500</v>
      </c>
      <c r="N28">
        <v>500</v>
      </c>
      <c r="O28">
        <v>55</v>
      </c>
      <c r="P28">
        <v>24</v>
      </c>
      <c r="Q28">
        <v>24</v>
      </c>
      <c r="R28">
        <v>52.7</v>
      </c>
      <c r="S28">
        <v>365</v>
      </c>
      <c r="T28">
        <v>365</v>
      </c>
      <c r="U28">
        <v>365</v>
      </c>
      <c r="V28">
        <v>365</v>
      </c>
      <c r="W28">
        <v>365</v>
      </c>
      <c r="X28">
        <v>365</v>
      </c>
      <c r="Y28">
        <v>365</v>
      </c>
      <c r="Z28">
        <v>365</v>
      </c>
      <c r="AI28">
        <v>337.82051280000002</v>
      </c>
      <c r="AJ28">
        <v>0</v>
      </c>
      <c r="AK28">
        <v>0</v>
      </c>
      <c r="AL28">
        <v>0</v>
      </c>
      <c r="AM28" t="s">
        <v>81</v>
      </c>
    </row>
    <row r="29" spans="1:39" x14ac:dyDescent="0.35">
      <c r="A29" t="s">
        <v>78</v>
      </c>
      <c r="B29">
        <v>9395343</v>
      </c>
      <c r="C29" t="s">
        <v>40</v>
      </c>
      <c r="D29" s="1">
        <v>46191</v>
      </c>
      <c r="E29" s="2">
        <v>0.5</v>
      </c>
      <c r="F29" s="1">
        <v>46192</v>
      </c>
      <c r="G29" s="2">
        <v>0.5</v>
      </c>
      <c r="H29" t="s">
        <v>79</v>
      </c>
      <c r="I29" t="s">
        <v>45</v>
      </c>
      <c r="J29">
        <v>448.5</v>
      </c>
      <c r="K29">
        <v>1</v>
      </c>
      <c r="L29">
        <v>448.5</v>
      </c>
      <c r="M29">
        <v>7900</v>
      </c>
      <c r="N29">
        <v>500</v>
      </c>
      <c r="O29">
        <v>65</v>
      </c>
      <c r="P29">
        <v>23</v>
      </c>
      <c r="Q29">
        <v>23</v>
      </c>
      <c r="R29">
        <v>61.2</v>
      </c>
      <c r="S29">
        <v>365</v>
      </c>
      <c r="T29">
        <v>365</v>
      </c>
      <c r="U29">
        <v>365</v>
      </c>
      <c r="V29">
        <v>365</v>
      </c>
      <c r="W29">
        <v>365</v>
      </c>
      <c r="X29">
        <v>365</v>
      </c>
      <c r="Y29">
        <v>365</v>
      </c>
      <c r="Z29">
        <v>365</v>
      </c>
      <c r="AI29">
        <v>336.81893229999997</v>
      </c>
      <c r="AJ29">
        <v>0</v>
      </c>
      <c r="AK29">
        <v>0</v>
      </c>
      <c r="AL29">
        <v>0</v>
      </c>
      <c r="AM29" t="s">
        <v>82</v>
      </c>
    </row>
    <row r="30" spans="1:39" x14ac:dyDescent="0.35">
      <c r="A30" t="s">
        <v>78</v>
      </c>
      <c r="B30">
        <v>9395343</v>
      </c>
      <c r="C30" t="s">
        <v>40</v>
      </c>
      <c r="D30" s="1">
        <v>46192</v>
      </c>
      <c r="E30" s="2">
        <v>0.5</v>
      </c>
      <c r="F30" s="1">
        <v>46193</v>
      </c>
      <c r="G30" s="2">
        <v>0.5</v>
      </c>
      <c r="H30" t="s">
        <v>79</v>
      </c>
      <c r="I30" t="s">
        <v>45</v>
      </c>
      <c r="J30">
        <v>458</v>
      </c>
      <c r="K30">
        <v>0</v>
      </c>
      <c r="L30">
        <v>4</v>
      </c>
      <c r="M30">
        <v>8000</v>
      </c>
      <c r="N30">
        <v>500</v>
      </c>
      <c r="O30">
        <v>67</v>
      </c>
      <c r="P30">
        <v>24</v>
      </c>
      <c r="Q30">
        <v>24</v>
      </c>
      <c r="R30">
        <v>63.2</v>
      </c>
      <c r="S30">
        <v>362</v>
      </c>
      <c r="T30">
        <v>362</v>
      </c>
      <c r="U30">
        <v>362</v>
      </c>
      <c r="V30">
        <v>362</v>
      </c>
      <c r="W30">
        <v>362</v>
      </c>
      <c r="X30">
        <v>362</v>
      </c>
      <c r="Y30">
        <v>362</v>
      </c>
      <c r="Z30">
        <v>362</v>
      </c>
      <c r="AI30">
        <v>329.16666670000001</v>
      </c>
      <c r="AJ30">
        <v>0</v>
      </c>
      <c r="AK30">
        <v>0</v>
      </c>
      <c r="AL30">
        <v>0</v>
      </c>
      <c r="AM30" t="s">
        <v>83</v>
      </c>
    </row>
    <row r="31" spans="1:39" x14ac:dyDescent="0.35">
      <c r="A31" t="s">
        <v>84</v>
      </c>
      <c r="B31">
        <v>9485904</v>
      </c>
      <c r="C31" t="s">
        <v>40</v>
      </c>
      <c r="D31" s="1">
        <v>46190</v>
      </c>
      <c r="E31" s="2">
        <v>0.5</v>
      </c>
      <c r="F31" s="1">
        <v>46191</v>
      </c>
      <c r="G31" s="2">
        <v>0.5</v>
      </c>
      <c r="H31" t="s">
        <v>85</v>
      </c>
      <c r="I31" t="s">
        <v>86</v>
      </c>
      <c r="J31">
        <v>284</v>
      </c>
      <c r="K31">
        <v>0</v>
      </c>
      <c r="L31">
        <v>294</v>
      </c>
      <c r="M31">
        <v>3085</v>
      </c>
      <c r="N31">
        <v>98</v>
      </c>
      <c r="O31">
        <v>48</v>
      </c>
      <c r="P31">
        <v>24</v>
      </c>
      <c r="Q31">
        <v>24</v>
      </c>
      <c r="R31">
        <v>15.1</v>
      </c>
      <c r="S31">
        <v>357</v>
      </c>
      <c r="T31">
        <v>349</v>
      </c>
      <c r="U31">
        <v>314</v>
      </c>
      <c r="V31">
        <v>347</v>
      </c>
      <c r="W31">
        <v>358</v>
      </c>
      <c r="AI31">
        <v>203.94381419999999</v>
      </c>
      <c r="AJ31">
        <v>1.227714749</v>
      </c>
      <c r="AK31">
        <v>0</v>
      </c>
      <c r="AL31">
        <v>101</v>
      </c>
      <c r="AM31" t="s">
        <v>87</v>
      </c>
    </row>
    <row r="32" spans="1:39" x14ac:dyDescent="0.35">
      <c r="A32" t="s">
        <v>84</v>
      </c>
      <c r="B32">
        <v>9485904</v>
      </c>
      <c r="C32" t="s">
        <v>40</v>
      </c>
      <c r="D32" s="1">
        <v>46191</v>
      </c>
      <c r="E32" s="2">
        <v>0.5</v>
      </c>
      <c r="F32" s="1">
        <v>46192</v>
      </c>
      <c r="G32" s="2">
        <v>0.5</v>
      </c>
      <c r="H32" t="s">
        <v>85</v>
      </c>
      <c r="I32" t="s">
        <v>86</v>
      </c>
      <c r="J32">
        <v>283</v>
      </c>
      <c r="K32">
        <v>0</v>
      </c>
      <c r="L32">
        <v>294</v>
      </c>
      <c r="M32">
        <v>3121</v>
      </c>
      <c r="N32">
        <v>95</v>
      </c>
      <c r="O32">
        <v>48</v>
      </c>
      <c r="P32">
        <v>24</v>
      </c>
      <c r="Q32">
        <v>24</v>
      </c>
      <c r="R32">
        <v>15.2</v>
      </c>
      <c r="S32">
        <v>360</v>
      </c>
      <c r="T32">
        <v>345</v>
      </c>
      <c r="U32">
        <v>320</v>
      </c>
      <c r="V32">
        <v>348</v>
      </c>
      <c r="W32">
        <v>362</v>
      </c>
      <c r="AI32">
        <v>202.9264125</v>
      </c>
      <c r="AJ32">
        <v>1.213553348</v>
      </c>
      <c r="AK32">
        <v>0</v>
      </c>
      <c r="AL32">
        <v>101</v>
      </c>
      <c r="AM32" t="s">
        <v>88</v>
      </c>
    </row>
    <row r="33" spans="1:39" x14ac:dyDescent="0.35">
      <c r="A33" t="s">
        <v>89</v>
      </c>
      <c r="B33">
        <v>9442392</v>
      </c>
      <c r="C33" t="s">
        <v>40</v>
      </c>
      <c r="D33" s="1">
        <v>46187</v>
      </c>
      <c r="E33" s="2">
        <v>0.5</v>
      </c>
      <c r="F33" s="1">
        <v>46188</v>
      </c>
      <c r="G33" s="2">
        <v>0.5</v>
      </c>
      <c r="H33" t="s">
        <v>90</v>
      </c>
      <c r="I33" t="s">
        <v>66</v>
      </c>
      <c r="J33">
        <v>229</v>
      </c>
      <c r="K33">
        <v>0</v>
      </c>
      <c r="L33">
        <v>275</v>
      </c>
      <c r="M33">
        <v>4808</v>
      </c>
      <c r="N33">
        <v>71.56</v>
      </c>
      <c r="O33">
        <v>44.8</v>
      </c>
      <c r="P33">
        <v>24</v>
      </c>
      <c r="Q33">
        <v>24</v>
      </c>
      <c r="R33">
        <v>22.42</v>
      </c>
      <c r="S33">
        <v>355</v>
      </c>
      <c r="T33">
        <v>369</v>
      </c>
      <c r="U33">
        <v>339</v>
      </c>
      <c r="V33">
        <v>331</v>
      </c>
      <c r="W33">
        <v>364</v>
      </c>
      <c r="X33">
        <v>325</v>
      </c>
      <c r="AI33">
        <v>194.29423180000001</v>
      </c>
      <c r="AJ33">
        <v>0.982737105</v>
      </c>
      <c r="AK33">
        <v>0</v>
      </c>
      <c r="AL33">
        <v>126</v>
      </c>
      <c r="AM33" t="s">
        <v>67</v>
      </c>
    </row>
    <row r="34" spans="1:39" ht="15" customHeight="1" x14ac:dyDescent="0.35">
      <c r="A34" t="s">
        <v>89</v>
      </c>
      <c r="B34">
        <v>9442392</v>
      </c>
      <c r="C34" t="s">
        <v>40</v>
      </c>
      <c r="D34" s="1">
        <v>46188</v>
      </c>
      <c r="E34" s="2">
        <v>0.5</v>
      </c>
      <c r="F34" s="1">
        <v>46189</v>
      </c>
      <c r="G34" s="2">
        <v>0.5</v>
      </c>
      <c r="H34" t="s">
        <v>90</v>
      </c>
      <c r="I34" t="s">
        <v>66</v>
      </c>
      <c r="J34">
        <v>251</v>
      </c>
      <c r="K34">
        <v>0</v>
      </c>
      <c r="L34">
        <v>275</v>
      </c>
      <c r="M34">
        <v>4780</v>
      </c>
      <c r="N34">
        <v>71.489999999999995</v>
      </c>
      <c r="O34">
        <v>44.5</v>
      </c>
      <c r="P34">
        <v>24</v>
      </c>
      <c r="Q34">
        <v>24</v>
      </c>
      <c r="R34">
        <v>20.65</v>
      </c>
      <c r="S34">
        <v>363</v>
      </c>
      <c r="T34">
        <v>367</v>
      </c>
      <c r="U34">
        <v>341</v>
      </c>
      <c r="V34">
        <v>338</v>
      </c>
      <c r="W34">
        <v>373</v>
      </c>
      <c r="X34">
        <v>331</v>
      </c>
      <c r="AI34">
        <v>180.00348679999999</v>
      </c>
      <c r="AJ34">
        <v>0.98064853600000002</v>
      </c>
      <c r="AK34">
        <v>0</v>
      </c>
      <c r="AL34">
        <v>125</v>
      </c>
      <c r="AM34" t="s">
        <v>67</v>
      </c>
    </row>
    <row r="35" spans="1:39" x14ac:dyDescent="0.35">
      <c r="A35" t="s">
        <v>89</v>
      </c>
      <c r="B35">
        <v>9442392</v>
      </c>
      <c r="C35" t="s">
        <v>40</v>
      </c>
      <c r="D35" s="1">
        <v>46189</v>
      </c>
      <c r="E35" s="2">
        <v>0.5</v>
      </c>
      <c r="F35" s="1">
        <v>46190</v>
      </c>
      <c r="G35" s="2">
        <v>0.5</v>
      </c>
      <c r="H35" t="s">
        <v>90</v>
      </c>
      <c r="I35" t="s">
        <v>86</v>
      </c>
      <c r="J35">
        <v>245</v>
      </c>
      <c r="K35">
        <v>1</v>
      </c>
      <c r="L35">
        <v>264</v>
      </c>
      <c r="M35">
        <v>4788</v>
      </c>
      <c r="N35">
        <v>72.349999999999994</v>
      </c>
      <c r="O35">
        <v>44.6</v>
      </c>
      <c r="P35">
        <v>23</v>
      </c>
      <c r="Q35">
        <v>23</v>
      </c>
      <c r="R35">
        <v>19.82</v>
      </c>
      <c r="S35">
        <v>371</v>
      </c>
      <c r="T35">
        <v>353</v>
      </c>
      <c r="U35">
        <v>334</v>
      </c>
      <c r="V35">
        <v>326</v>
      </c>
      <c r="W35">
        <v>374</v>
      </c>
      <c r="X35">
        <v>321</v>
      </c>
      <c r="AI35">
        <v>179.9789328</v>
      </c>
      <c r="AJ35">
        <v>1.127819549</v>
      </c>
      <c r="AK35">
        <v>10</v>
      </c>
      <c r="AL35">
        <v>138</v>
      </c>
      <c r="AM35" t="s">
        <v>67</v>
      </c>
    </row>
    <row r="36" spans="1:39" x14ac:dyDescent="0.35">
      <c r="A36" t="s">
        <v>89</v>
      </c>
      <c r="B36">
        <v>9442392</v>
      </c>
      <c r="C36" t="s">
        <v>40</v>
      </c>
      <c r="D36" s="1">
        <v>46190</v>
      </c>
      <c r="E36" s="2">
        <v>0.5</v>
      </c>
      <c r="F36" s="1">
        <v>46191</v>
      </c>
      <c r="G36" s="2">
        <v>0.5</v>
      </c>
      <c r="H36" t="s">
        <v>90</v>
      </c>
      <c r="I36" t="s">
        <v>86</v>
      </c>
      <c r="J36">
        <v>251</v>
      </c>
      <c r="K36">
        <v>0</v>
      </c>
      <c r="L36">
        <v>275</v>
      </c>
      <c r="M36">
        <v>4745</v>
      </c>
      <c r="N36">
        <v>71.349999999999994</v>
      </c>
      <c r="O36">
        <v>44.2</v>
      </c>
      <c r="P36">
        <v>24</v>
      </c>
      <c r="Q36">
        <v>24</v>
      </c>
      <c r="R36">
        <v>20.5</v>
      </c>
      <c r="S36">
        <v>349</v>
      </c>
      <c r="T36">
        <v>341</v>
      </c>
      <c r="U36">
        <v>309</v>
      </c>
      <c r="V36">
        <v>308</v>
      </c>
      <c r="W36">
        <v>347</v>
      </c>
      <c r="X36">
        <v>300</v>
      </c>
      <c r="AI36">
        <v>180.0140499</v>
      </c>
      <c r="AJ36">
        <v>1.1380400420000001</v>
      </c>
      <c r="AK36">
        <v>24</v>
      </c>
      <c r="AL36">
        <v>144</v>
      </c>
      <c r="AM36" t="s">
        <v>67</v>
      </c>
    </row>
    <row r="37" spans="1:39" x14ac:dyDescent="0.35">
      <c r="A37" t="s">
        <v>89</v>
      </c>
      <c r="B37">
        <v>9442392</v>
      </c>
      <c r="C37" t="s">
        <v>40</v>
      </c>
      <c r="D37" s="1">
        <v>46191</v>
      </c>
      <c r="E37" s="2">
        <v>0.5</v>
      </c>
      <c r="F37" s="1">
        <v>46192</v>
      </c>
      <c r="G37" s="2">
        <v>0.5</v>
      </c>
      <c r="H37" t="s">
        <v>90</v>
      </c>
      <c r="I37" t="s">
        <v>86</v>
      </c>
      <c r="J37">
        <v>250</v>
      </c>
      <c r="K37">
        <v>0</v>
      </c>
      <c r="L37">
        <v>274</v>
      </c>
      <c r="M37">
        <v>4676</v>
      </c>
      <c r="N37">
        <v>71.16</v>
      </c>
      <c r="O37">
        <v>43.5</v>
      </c>
      <c r="P37">
        <v>24</v>
      </c>
      <c r="Q37">
        <v>24</v>
      </c>
      <c r="R37">
        <v>20.2</v>
      </c>
      <c r="S37">
        <v>342</v>
      </c>
      <c r="T37">
        <v>338</v>
      </c>
      <c r="U37">
        <v>305</v>
      </c>
      <c r="V37">
        <v>303</v>
      </c>
      <c r="W37">
        <v>350</v>
      </c>
      <c r="X37">
        <v>318</v>
      </c>
      <c r="AI37">
        <v>179.9971486</v>
      </c>
      <c r="AJ37">
        <v>1.61668627</v>
      </c>
      <c r="AK37">
        <v>24</v>
      </c>
      <c r="AL37">
        <v>201.59</v>
      </c>
      <c r="AM37" t="s">
        <v>67</v>
      </c>
    </row>
    <row r="38" spans="1:39" x14ac:dyDescent="0.35">
      <c r="A38" t="s">
        <v>89</v>
      </c>
      <c r="B38">
        <v>9442392</v>
      </c>
      <c r="C38" t="s">
        <v>54</v>
      </c>
      <c r="D38" s="1">
        <v>46193</v>
      </c>
      <c r="E38" s="2">
        <v>0.5</v>
      </c>
      <c r="F38" s="1">
        <v>46193</v>
      </c>
      <c r="G38" s="2">
        <v>0.91666666666666663</v>
      </c>
      <c r="H38" t="s">
        <v>91</v>
      </c>
      <c r="I38" t="s">
        <v>86</v>
      </c>
      <c r="J38">
        <v>40</v>
      </c>
      <c r="K38">
        <v>0</v>
      </c>
      <c r="L38">
        <v>48</v>
      </c>
      <c r="M38">
        <v>3090</v>
      </c>
      <c r="N38">
        <v>54.24</v>
      </c>
      <c r="O38">
        <v>28.8</v>
      </c>
      <c r="P38">
        <v>2</v>
      </c>
      <c r="Q38">
        <v>10</v>
      </c>
      <c r="R38">
        <v>0.89</v>
      </c>
      <c r="AI38">
        <v>144.012945</v>
      </c>
      <c r="AJ38">
        <v>1.601941748</v>
      </c>
      <c r="AK38">
        <v>10</v>
      </c>
      <c r="AL38">
        <v>11</v>
      </c>
      <c r="AM38" t="s">
        <v>92</v>
      </c>
    </row>
    <row r="39" spans="1:39" x14ac:dyDescent="0.35">
      <c r="A39" t="s">
        <v>93</v>
      </c>
      <c r="B39">
        <v>9640994</v>
      </c>
      <c r="C39" t="s">
        <v>40</v>
      </c>
      <c r="D39" s="1">
        <v>46187</v>
      </c>
      <c r="E39" s="2">
        <v>0.96250000000000002</v>
      </c>
      <c r="F39" s="1">
        <v>46188</v>
      </c>
      <c r="G39" s="2">
        <v>0.5</v>
      </c>
      <c r="H39">
        <v>99</v>
      </c>
      <c r="I39" t="s">
        <v>94</v>
      </c>
      <c r="J39">
        <v>160</v>
      </c>
      <c r="K39">
        <v>0</v>
      </c>
      <c r="L39">
        <v>160</v>
      </c>
      <c r="M39">
        <v>5400</v>
      </c>
      <c r="N39">
        <v>73.489999999999995</v>
      </c>
      <c r="O39">
        <v>41.54</v>
      </c>
      <c r="P39">
        <v>12.9</v>
      </c>
      <c r="Q39">
        <v>12.9</v>
      </c>
      <c r="R39">
        <v>12.1</v>
      </c>
      <c r="S39">
        <v>317</v>
      </c>
      <c r="T39">
        <v>315</v>
      </c>
      <c r="U39">
        <v>345</v>
      </c>
      <c r="V39">
        <v>313</v>
      </c>
      <c r="W39">
        <v>319</v>
      </c>
      <c r="X39">
        <v>340</v>
      </c>
      <c r="AI39">
        <v>173.70083260000001</v>
      </c>
      <c r="AJ39">
        <v>1.033591731</v>
      </c>
      <c r="AK39">
        <v>0</v>
      </c>
      <c r="AL39">
        <v>80</v>
      </c>
      <c r="AM39" t="s">
        <v>67</v>
      </c>
    </row>
    <row r="40" spans="1:39" x14ac:dyDescent="0.35">
      <c r="A40" t="s">
        <v>93</v>
      </c>
      <c r="B40">
        <v>9640994</v>
      </c>
      <c r="C40" t="s">
        <v>40</v>
      </c>
      <c r="D40" s="1">
        <v>46188</v>
      </c>
      <c r="E40" s="2">
        <v>0.5</v>
      </c>
      <c r="F40" s="1">
        <v>46189</v>
      </c>
      <c r="G40" s="2">
        <v>0.5</v>
      </c>
      <c r="H40">
        <v>99</v>
      </c>
      <c r="I40" t="s">
        <v>94</v>
      </c>
      <c r="J40">
        <v>296</v>
      </c>
      <c r="K40">
        <v>0</v>
      </c>
      <c r="L40">
        <v>296</v>
      </c>
      <c r="M40">
        <v>5600</v>
      </c>
      <c r="N40">
        <v>75.510000000000005</v>
      </c>
      <c r="O40">
        <v>43.08</v>
      </c>
      <c r="P40">
        <v>24</v>
      </c>
      <c r="Q40">
        <v>24</v>
      </c>
      <c r="R40">
        <v>23.4</v>
      </c>
      <c r="S40">
        <v>319</v>
      </c>
      <c r="T40">
        <v>316</v>
      </c>
      <c r="U40">
        <v>349</v>
      </c>
      <c r="V40">
        <v>313</v>
      </c>
      <c r="W40">
        <v>314</v>
      </c>
      <c r="X40">
        <v>340</v>
      </c>
      <c r="AI40">
        <v>174.10714290000001</v>
      </c>
      <c r="AJ40">
        <v>0.99776785700000004</v>
      </c>
      <c r="AK40">
        <v>24</v>
      </c>
      <c r="AL40">
        <v>149</v>
      </c>
      <c r="AM40" t="s">
        <v>67</v>
      </c>
    </row>
    <row r="41" spans="1:39" x14ac:dyDescent="0.35">
      <c r="A41" t="s">
        <v>93</v>
      </c>
      <c r="B41">
        <v>9640994</v>
      </c>
      <c r="C41" t="s">
        <v>40</v>
      </c>
      <c r="D41" s="1">
        <v>46189</v>
      </c>
      <c r="E41" s="2">
        <v>0.5</v>
      </c>
      <c r="F41" s="1">
        <v>46190</v>
      </c>
      <c r="G41" s="2">
        <v>0.27083333333333331</v>
      </c>
      <c r="H41">
        <v>99</v>
      </c>
      <c r="I41" t="s">
        <v>94</v>
      </c>
      <c r="J41">
        <v>208</v>
      </c>
      <c r="K41">
        <v>0</v>
      </c>
      <c r="L41">
        <v>208</v>
      </c>
      <c r="M41">
        <v>5600</v>
      </c>
      <c r="N41">
        <v>75.5</v>
      </c>
      <c r="O41">
        <v>43.08</v>
      </c>
      <c r="P41">
        <v>18.5</v>
      </c>
      <c r="Q41">
        <v>18.5</v>
      </c>
      <c r="R41">
        <v>18.100000000000001</v>
      </c>
      <c r="S41">
        <v>312</v>
      </c>
      <c r="T41">
        <v>313</v>
      </c>
      <c r="U41">
        <v>357</v>
      </c>
      <c r="V41">
        <v>311</v>
      </c>
      <c r="W41">
        <v>313</v>
      </c>
      <c r="X41">
        <v>336</v>
      </c>
      <c r="AI41">
        <v>174.7104247</v>
      </c>
      <c r="AJ41">
        <v>1.0337837839999999</v>
      </c>
      <c r="AK41">
        <v>18.899999999999999</v>
      </c>
      <c r="AL41">
        <v>119</v>
      </c>
      <c r="AM41" t="s">
        <v>95</v>
      </c>
    </row>
    <row r="42" spans="1:39" x14ac:dyDescent="0.35">
      <c r="A42" t="s">
        <v>93</v>
      </c>
      <c r="B42">
        <v>9640994</v>
      </c>
      <c r="C42" t="s">
        <v>40</v>
      </c>
      <c r="D42" s="1">
        <v>46193</v>
      </c>
      <c r="E42" s="2">
        <v>0.5</v>
      </c>
      <c r="F42" s="1">
        <v>46194</v>
      </c>
      <c r="G42" s="2">
        <v>0.5</v>
      </c>
      <c r="H42">
        <v>99</v>
      </c>
      <c r="I42" t="s">
        <v>94</v>
      </c>
      <c r="J42">
        <v>317</v>
      </c>
      <c r="K42">
        <v>0</v>
      </c>
      <c r="L42">
        <v>317</v>
      </c>
      <c r="M42">
        <v>5900</v>
      </c>
      <c r="N42">
        <v>77.239999999999995</v>
      </c>
      <c r="O42">
        <v>45.38</v>
      </c>
      <c r="P42">
        <v>24</v>
      </c>
      <c r="Q42">
        <v>24</v>
      </c>
      <c r="R42">
        <v>24.6</v>
      </c>
      <c r="S42">
        <v>311</v>
      </c>
      <c r="T42">
        <v>307</v>
      </c>
      <c r="U42">
        <v>342</v>
      </c>
      <c r="V42">
        <v>308</v>
      </c>
      <c r="W42">
        <v>318</v>
      </c>
      <c r="X42">
        <v>340</v>
      </c>
      <c r="AI42">
        <v>173.7288136</v>
      </c>
      <c r="AJ42">
        <v>1.0105932200000001</v>
      </c>
      <c r="AK42">
        <v>24</v>
      </c>
      <c r="AL42">
        <v>159</v>
      </c>
      <c r="AM42" t="s">
        <v>96</v>
      </c>
    </row>
    <row r="43" spans="1:39" x14ac:dyDescent="0.35">
      <c r="A43" t="s">
        <v>97</v>
      </c>
      <c r="B43">
        <v>9506540</v>
      </c>
      <c r="C43" t="s">
        <v>40</v>
      </c>
      <c r="D43" s="1">
        <v>46187</v>
      </c>
      <c r="E43" s="2">
        <v>0.5</v>
      </c>
      <c r="F43" s="1">
        <v>46188</v>
      </c>
      <c r="G43" s="2">
        <v>0.5</v>
      </c>
      <c r="H43">
        <v>150</v>
      </c>
      <c r="I43" t="s">
        <v>42</v>
      </c>
      <c r="J43">
        <v>247</v>
      </c>
      <c r="K43">
        <v>0</v>
      </c>
      <c r="L43">
        <v>247</v>
      </c>
      <c r="M43">
        <v>2481</v>
      </c>
      <c r="N43">
        <v>59.39</v>
      </c>
      <c r="O43">
        <v>41.25</v>
      </c>
      <c r="P43">
        <v>16</v>
      </c>
      <c r="Q43">
        <v>24</v>
      </c>
      <c r="R43">
        <v>9.5</v>
      </c>
      <c r="S43">
        <v>275</v>
      </c>
      <c r="T43">
        <v>284</v>
      </c>
      <c r="U43">
        <v>269</v>
      </c>
      <c r="V43">
        <v>260</v>
      </c>
      <c r="W43">
        <v>282</v>
      </c>
      <c r="X43">
        <v>291</v>
      </c>
      <c r="AI43">
        <v>239.3188231</v>
      </c>
      <c r="AJ43">
        <v>2.4259371220000001</v>
      </c>
      <c r="AK43">
        <v>23.9</v>
      </c>
      <c r="AL43">
        <v>107</v>
      </c>
      <c r="AM43" t="s">
        <v>98</v>
      </c>
    </row>
    <row r="45" spans="1:39" x14ac:dyDescent="0.35">
      <c r="AM45"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8A4A4-FA7E-46CA-80E4-4F6F8EC63AD9}">
  <dimension ref="A1:AN42"/>
  <sheetViews>
    <sheetView zoomScaleNormal="100" workbookViewId="0">
      <selection activeCell="E9" sqref="E9"/>
    </sheetView>
  </sheetViews>
  <sheetFormatPr defaultRowHeight="14.5" x14ac:dyDescent="0.35"/>
  <cols>
    <col min="1" max="1" width="19" customWidth="1"/>
  </cols>
  <sheetData>
    <row r="1" spans="1:4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37</v>
      </c>
      <c r="AJ1" t="s">
        <v>34</v>
      </c>
      <c r="AK1" t="s">
        <v>36</v>
      </c>
      <c r="AL1" t="s">
        <v>278</v>
      </c>
      <c r="AM1" t="s">
        <v>35</v>
      </c>
      <c r="AN1" t="s">
        <v>38</v>
      </c>
    </row>
    <row r="2" spans="1:40" x14ac:dyDescent="0.35">
      <c r="A2" t="s">
        <v>100</v>
      </c>
      <c r="B2">
        <v>9614103</v>
      </c>
      <c r="C2" t="s">
        <v>40</v>
      </c>
      <c r="D2" t="s">
        <v>279</v>
      </c>
      <c r="E2" t="s">
        <v>287</v>
      </c>
      <c r="F2" t="s">
        <v>280</v>
      </c>
      <c r="G2" t="s">
        <v>102</v>
      </c>
      <c r="H2" t="s">
        <v>288</v>
      </c>
      <c r="I2" t="s">
        <v>45</v>
      </c>
      <c r="J2">
        <v>153</v>
      </c>
      <c r="K2">
        <v>0</v>
      </c>
      <c r="L2">
        <v>153</v>
      </c>
      <c r="M2">
        <v>3780</v>
      </c>
      <c r="N2">
        <v>97.7</v>
      </c>
      <c r="O2">
        <v>39.9</v>
      </c>
      <c r="P2">
        <v>12.3</v>
      </c>
      <c r="Q2">
        <v>12.3</v>
      </c>
      <c r="R2">
        <v>9.49</v>
      </c>
      <c r="S2">
        <v>353</v>
      </c>
      <c r="T2">
        <v>354</v>
      </c>
      <c r="U2">
        <v>354</v>
      </c>
      <c r="V2">
        <v>356</v>
      </c>
      <c r="W2">
        <v>355</v>
      </c>
      <c r="X2">
        <v>356</v>
      </c>
      <c r="AI2">
        <v>51</v>
      </c>
      <c r="AJ2">
        <v>204.1123585839033</v>
      </c>
      <c r="AK2">
        <v>12.3</v>
      </c>
      <c r="AL2">
        <v>12.44</v>
      </c>
      <c r="AM2">
        <v>0.98722415795586527</v>
      </c>
      <c r="AN2" t="s">
        <v>289</v>
      </c>
    </row>
    <row r="3" spans="1:40" x14ac:dyDescent="0.35">
      <c r="A3" t="s">
        <v>57</v>
      </c>
      <c r="B3">
        <v>9504607</v>
      </c>
      <c r="C3" t="s">
        <v>40</v>
      </c>
      <c r="D3" t="s">
        <v>286</v>
      </c>
      <c r="E3" t="s">
        <v>102</v>
      </c>
      <c r="F3" t="s">
        <v>281</v>
      </c>
      <c r="G3" t="s">
        <v>102</v>
      </c>
      <c r="H3">
        <v>36</v>
      </c>
      <c r="I3" t="s">
        <v>45</v>
      </c>
      <c r="J3">
        <v>314</v>
      </c>
      <c r="K3">
        <v>0</v>
      </c>
      <c r="L3">
        <v>314</v>
      </c>
      <c r="M3">
        <v>4654.96</v>
      </c>
      <c r="N3">
        <v>66.599999999999994</v>
      </c>
      <c r="O3">
        <v>21.49</v>
      </c>
      <c r="P3">
        <v>24</v>
      </c>
      <c r="Q3">
        <v>24</v>
      </c>
      <c r="R3">
        <v>25.9</v>
      </c>
      <c r="S3">
        <v>328</v>
      </c>
      <c r="T3">
        <v>294</v>
      </c>
      <c r="U3">
        <v>309</v>
      </c>
      <c r="V3">
        <v>284</v>
      </c>
      <c r="W3">
        <v>288</v>
      </c>
      <c r="X3">
        <v>304</v>
      </c>
      <c r="AI3">
        <v>112</v>
      </c>
      <c r="AJ3">
        <v>231.83156604281601</v>
      </c>
      <c r="AK3">
        <v>0</v>
      </c>
      <c r="AL3">
        <v>13.08</v>
      </c>
      <c r="AM3">
        <v>0.90226339216663509</v>
      </c>
      <c r="AN3" t="s">
        <v>64</v>
      </c>
    </row>
    <row r="4" spans="1:40" x14ac:dyDescent="0.35">
      <c r="A4" t="s">
        <v>57</v>
      </c>
      <c r="B4">
        <v>9504607</v>
      </c>
      <c r="C4" t="s">
        <v>40</v>
      </c>
      <c r="D4" t="s">
        <v>281</v>
      </c>
      <c r="E4" t="s">
        <v>102</v>
      </c>
      <c r="F4" t="s">
        <v>282</v>
      </c>
      <c r="G4" t="s">
        <v>102</v>
      </c>
      <c r="H4">
        <v>36</v>
      </c>
      <c r="I4" t="s">
        <v>42</v>
      </c>
      <c r="J4">
        <v>342</v>
      </c>
      <c r="K4">
        <v>1</v>
      </c>
      <c r="L4">
        <v>342</v>
      </c>
      <c r="M4">
        <v>4658.3999999999996</v>
      </c>
      <c r="N4">
        <v>66.599999999999994</v>
      </c>
      <c r="O4">
        <v>21.51</v>
      </c>
      <c r="P4">
        <v>25</v>
      </c>
      <c r="Q4">
        <v>23</v>
      </c>
      <c r="R4">
        <v>27.01</v>
      </c>
      <c r="S4">
        <v>329</v>
      </c>
      <c r="T4">
        <v>296</v>
      </c>
      <c r="U4">
        <v>313</v>
      </c>
      <c r="V4">
        <v>291</v>
      </c>
      <c r="W4">
        <v>301</v>
      </c>
      <c r="X4">
        <v>305</v>
      </c>
      <c r="AI4">
        <v>122</v>
      </c>
      <c r="AJ4">
        <v>231.9251245062683</v>
      </c>
      <c r="AK4">
        <v>0</v>
      </c>
      <c r="AL4">
        <v>13.68</v>
      </c>
      <c r="AM4">
        <v>0.94281298299845451</v>
      </c>
      <c r="AN4" t="s">
        <v>290</v>
      </c>
    </row>
    <row r="5" spans="1:40" x14ac:dyDescent="0.35">
      <c r="A5" t="s">
        <v>57</v>
      </c>
      <c r="B5">
        <v>9504607</v>
      </c>
      <c r="C5" t="s">
        <v>40</v>
      </c>
      <c r="D5" t="s">
        <v>282</v>
      </c>
      <c r="E5" t="s">
        <v>102</v>
      </c>
      <c r="F5" t="s">
        <v>283</v>
      </c>
      <c r="G5" t="s">
        <v>102</v>
      </c>
      <c r="H5">
        <v>36</v>
      </c>
      <c r="I5" t="s">
        <v>42</v>
      </c>
      <c r="J5">
        <v>303</v>
      </c>
      <c r="K5">
        <v>0</v>
      </c>
      <c r="L5">
        <v>303</v>
      </c>
      <c r="M5">
        <v>4852.6899999999996</v>
      </c>
      <c r="N5">
        <v>64.2</v>
      </c>
      <c r="O5">
        <v>22.4</v>
      </c>
      <c r="P5">
        <v>23.4</v>
      </c>
      <c r="Q5">
        <v>24</v>
      </c>
      <c r="R5">
        <v>24.2</v>
      </c>
      <c r="S5">
        <v>314</v>
      </c>
      <c r="T5">
        <v>296</v>
      </c>
      <c r="U5">
        <v>285</v>
      </c>
      <c r="V5">
        <v>281</v>
      </c>
      <c r="W5">
        <v>286</v>
      </c>
      <c r="X5">
        <v>297</v>
      </c>
      <c r="AI5">
        <v>115</v>
      </c>
      <c r="AJ5">
        <v>213.11644349588249</v>
      </c>
      <c r="AK5">
        <v>0</v>
      </c>
      <c r="AL5">
        <v>12.63</v>
      </c>
      <c r="AM5">
        <v>0.91146908685222505</v>
      </c>
      <c r="AN5" t="s">
        <v>291</v>
      </c>
    </row>
    <row r="6" spans="1:40" x14ac:dyDescent="0.35">
      <c r="A6" t="s">
        <v>57</v>
      </c>
      <c r="B6">
        <v>9504607</v>
      </c>
      <c r="C6" t="s">
        <v>40</v>
      </c>
      <c r="D6" t="s">
        <v>284</v>
      </c>
      <c r="E6" t="s">
        <v>117</v>
      </c>
      <c r="F6" t="s">
        <v>285</v>
      </c>
      <c r="G6" t="s">
        <v>102</v>
      </c>
      <c r="H6">
        <v>36</v>
      </c>
      <c r="I6" t="s">
        <v>42</v>
      </c>
      <c r="J6">
        <v>215</v>
      </c>
      <c r="K6">
        <v>0</v>
      </c>
      <c r="L6">
        <v>215</v>
      </c>
      <c r="M6">
        <v>4753.3900000000003</v>
      </c>
      <c r="N6">
        <v>64.599999999999994</v>
      </c>
      <c r="O6">
        <v>21.95</v>
      </c>
      <c r="P6">
        <v>18</v>
      </c>
      <c r="Q6">
        <v>18</v>
      </c>
      <c r="R6">
        <v>18.45</v>
      </c>
      <c r="S6">
        <v>320</v>
      </c>
      <c r="T6">
        <v>293</v>
      </c>
      <c r="U6">
        <v>302</v>
      </c>
      <c r="V6">
        <v>295</v>
      </c>
      <c r="W6">
        <v>293</v>
      </c>
      <c r="X6">
        <v>283</v>
      </c>
      <c r="AI6">
        <v>84</v>
      </c>
      <c r="AJ6">
        <v>215.63557797698061</v>
      </c>
      <c r="AK6">
        <v>0</v>
      </c>
      <c r="AL6">
        <v>11.94</v>
      </c>
      <c r="AM6">
        <v>0.8835799292715304</v>
      </c>
      <c r="AN6" t="s">
        <v>292</v>
      </c>
    </row>
    <row r="7" spans="1:40" x14ac:dyDescent="0.35">
      <c r="A7" t="s">
        <v>57</v>
      </c>
      <c r="B7">
        <v>9504607</v>
      </c>
      <c r="C7" t="s">
        <v>40</v>
      </c>
      <c r="D7" t="s">
        <v>285</v>
      </c>
      <c r="E7" t="s">
        <v>102</v>
      </c>
      <c r="F7" t="s">
        <v>279</v>
      </c>
      <c r="G7" t="s">
        <v>226</v>
      </c>
      <c r="H7">
        <v>36</v>
      </c>
      <c r="I7" t="s">
        <v>42</v>
      </c>
      <c r="J7">
        <v>280</v>
      </c>
      <c r="K7">
        <v>0</v>
      </c>
      <c r="L7">
        <v>280</v>
      </c>
      <c r="M7">
        <v>5200</v>
      </c>
      <c r="N7">
        <v>64.099999999999994</v>
      </c>
      <c r="O7">
        <v>24.01</v>
      </c>
      <c r="P7">
        <v>22</v>
      </c>
      <c r="Q7">
        <v>22</v>
      </c>
      <c r="R7">
        <v>23.12</v>
      </c>
      <c r="S7">
        <v>324</v>
      </c>
      <c r="T7">
        <v>301</v>
      </c>
      <c r="U7">
        <v>303</v>
      </c>
      <c r="V7">
        <v>294</v>
      </c>
      <c r="W7">
        <v>293</v>
      </c>
      <c r="X7">
        <v>288</v>
      </c>
      <c r="AI7">
        <v>102</v>
      </c>
      <c r="AJ7">
        <v>202.09790209790211</v>
      </c>
      <c r="AK7">
        <v>0</v>
      </c>
      <c r="AL7">
        <v>12.73</v>
      </c>
      <c r="AM7">
        <v>0.80244755244755239</v>
      </c>
      <c r="AN7" t="s">
        <v>293</v>
      </c>
    </row>
    <row r="8" spans="1:40" x14ac:dyDescent="0.35">
      <c r="A8" t="s">
        <v>74</v>
      </c>
      <c r="B8">
        <v>9464314</v>
      </c>
      <c r="C8" t="s">
        <v>40</v>
      </c>
      <c r="D8" t="s">
        <v>284</v>
      </c>
      <c r="E8" t="s">
        <v>102</v>
      </c>
      <c r="F8" t="s">
        <v>285</v>
      </c>
      <c r="G8" t="s">
        <v>102</v>
      </c>
      <c r="H8" t="s">
        <v>295</v>
      </c>
      <c r="I8" t="s">
        <v>45</v>
      </c>
      <c r="J8">
        <v>286</v>
      </c>
      <c r="K8">
        <v>0</v>
      </c>
      <c r="L8">
        <v>277</v>
      </c>
      <c r="M8">
        <v>8315</v>
      </c>
      <c r="N8">
        <v>60</v>
      </c>
      <c r="O8">
        <v>23</v>
      </c>
      <c r="P8">
        <v>24</v>
      </c>
      <c r="Q8">
        <v>24</v>
      </c>
      <c r="R8">
        <v>43.5</v>
      </c>
      <c r="S8">
        <v>289</v>
      </c>
      <c r="T8">
        <v>320</v>
      </c>
      <c r="U8">
        <v>310</v>
      </c>
      <c r="V8">
        <v>299</v>
      </c>
      <c r="W8">
        <v>330</v>
      </c>
      <c r="X8">
        <v>310</v>
      </c>
      <c r="Y8">
        <v>320</v>
      </c>
      <c r="Z8">
        <v>305</v>
      </c>
      <c r="AI8">
        <v>245</v>
      </c>
      <c r="AJ8">
        <v>217.97955502104631</v>
      </c>
      <c r="AK8">
        <v>24</v>
      </c>
      <c r="AL8">
        <v>11.92</v>
      </c>
      <c r="AM8">
        <v>1.1049308478653039</v>
      </c>
      <c r="AN8" t="s">
        <v>296</v>
      </c>
    </row>
    <row r="9" spans="1:40" x14ac:dyDescent="0.35">
      <c r="A9" t="s">
        <v>78</v>
      </c>
      <c r="B9">
        <v>9395343</v>
      </c>
      <c r="C9" t="s">
        <v>47</v>
      </c>
      <c r="D9" t="s">
        <v>286</v>
      </c>
      <c r="E9" t="s">
        <v>102</v>
      </c>
      <c r="F9" t="s">
        <v>281</v>
      </c>
      <c r="G9" t="s">
        <v>102</v>
      </c>
      <c r="H9" t="s">
        <v>298</v>
      </c>
      <c r="I9" t="s">
        <v>45</v>
      </c>
      <c r="K9">
        <v>0</v>
      </c>
      <c r="L9">
        <v>0</v>
      </c>
      <c r="M9">
        <v>0</v>
      </c>
      <c r="N9">
        <v>0</v>
      </c>
      <c r="O9">
        <v>0</v>
      </c>
      <c r="P9">
        <v>0</v>
      </c>
      <c r="Q9">
        <v>24</v>
      </c>
      <c r="R9">
        <v>0</v>
      </c>
      <c r="AI9">
        <v>0</v>
      </c>
      <c r="AJ9">
        <v>0</v>
      </c>
      <c r="AK9">
        <v>0</v>
      </c>
      <c r="AL9">
        <v>0</v>
      </c>
      <c r="AM9">
        <v>0</v>
      </c>
      <c r="AN9" t="s">
        <v>299</v>
      </c>
    </row>
    <row r="10" spans="1:40" x14ac:dyDescent="0.35">
      <c r="A10" t="s">
        <v>78</v>
      </c>
      <c r="B10">
        <v>9395343</v>
      </c>
      <c r="C10" t="s">
        <v>49</v>
      </c>
      <c r="D10" t="s">
        <v>282</v>
      </c>
      <c r="E10" t="s">
        <v>253</v>
      </c>
      <c r="F10" t="s">
        <v>282</v>
      </c>
      <c r="G10" t="s">
        <v>300</v>
      </c>
      <c r="H10" t="s">
        <v>79</v>
      </c>
      <c r="I10" t="s">
        <v>45</v>
      </c>
      <c r="J10">
        <v>7</v>
      </c>
      <c r="K10">
        <v>0</v>
      </c>
      <c r="L10">
        <v>7</v>
      </c>
      <c r="M10">
        <v>4600</v>
      </c>
      <c r="N10">
        <v>500</v>
      </c>
      <c r="O10">
        <v>0</v>
      </c>
      <c r="P10">
        <v>3</v>
      </c>
      <c r="Q10">
        <v>8.42</v>
      </c>
      <c r="R10">
        <v>2.1</v>
      </c>
      <c r="AI10">
        <v>0</v>
      </c>
      <c r="AJ10">
        <v>152.17391304347831</v>
      </c>
      <c r="AK10">
        <v>0</v>
      </c>
      <c r="AL10">
        <v>7</v>
      </c>
      <c r="AM10">
        <v>0</v>
      </c>
      <c r="AN10" t="s">
        <v>301</v>
      </c>
    </row>
    <row r="11" spans="1:40" x14ac:dyDescent="0.35">
      <c r="A11" t="s">
        <v>78</v>
      </c>
      <c r="B11">
        <v>9395343</v>
      </c>
      <c r="C11" t="s">
        <v>54</v>
      </c>
      <c r="D11" t="s">
        <v>283</v>
      </c>
      <c r="E11" t="s">
        <v>302</v>
      </c>
      <c r="F11" t="s">
        <v>283</v>
      </c>
      <c r="G11" t="s">
        <v>303</v>
      </c>
      <c r="H11" t="s">
        <v>79</v>
      </c>
      <c r="I11" t="s">
        <v>45</v>
      </c>
      <c r="J11">
        <v>8</v>
      </c>
      <c r="K11">
        <v>0</v>
      </c>
      <c r="L11">
        <v>8</v>
      </c>
      <c r="M11">
        <v>2800</v>
      </c>
      <c r="N11">
        <v>500</v>
      </c>
      <c r="O11">
        <v>38</v>
      </c>
      <c r="P11">
        <v>3.5</v>
      </c>
      <c r="Q11">
        <v>3.37</v>
      </c>
      <c r="R11">
        <v>2.5</v>
      </c>
      <c r="AI11">
        <v>0</v>
      </c>
      <c r="AJ11">
        <v>255.10204081632651</v>
      </c>
      <c r="AK11">
        <v>0</v>
      </c>
      <c r="AL11">
        <v>6</v>
      </c>
      <c r="AM11">
        <v>0</v>
      </c>
      <c r="AN11" t="s">
        <v>304</v>
      </c>
    </row>
    <row r="12" spans="1:40" x14ac:dyDescent="0.35">
      <c r="A12" t="s">
        <v>84</v>
      </c>
      <c r="B12">
        <v>9485904</v>
      </c>
      <c r="C12" t="s">
        <v>40</v>
      </c>
      <c r="D12" t="s">
        <v>282</v>
      </c>
      <c r="E12" t="s">
        <v>102</v>
      </c>
      <c r="F12" t="s">
        <v>283</v>
      </c>
      <c r="G12" t="s">
        <v>102</v>
      </c>
      <c r="H12" t="s">
        <v>85</v>
      </c>
      <c r="I12" t="s">
        <v>86</v>
      </c>
      <c r="J12">
        <v>331</v>
      </c>
      <c r="K12">
        <v>0</v>
      </c>
      <c r="L12">
        <v>289</v>
      </c>
      <c r="M12">
        <v>3137</v>
      </c>
      <c r="N12">
        <v>98</v>
      </c>
      <c r="O12">
        <v>50</v>
      </c>
      <c r="P12">
        <v>24</v>
      </c>
      <c r="Q12">
        <v>24</v>
      </c>
      <c r="R12">
        <v>15.3</v>
      </c>
      <c r="S12">
        <v>361</v>
      </c>
      <c r="T12">
        <v>352</v>
      </c>
      <c r="U12">
        <v>327</v>
      </c>
      <c r="V12">
        <v>354</v>
      </c>
      <c r="W12">
        <v>359</v>
      </c>
      <c r="AI12">
        <v>104</v>
      </c>
      <c r="AJ12">
        <v>203.21963659547339</v>
      </c>
      <c r="AK12">
        <v>0</v>
      </c>
      <c r="AL12">
        <v>13.79</v>
      </c>
      <c r="AM12">
        <v>1.2432260121134839</v>
      </c>
      <c r="AN12" t="s">
        <v>305</v>
      </c>
    </row>
    <row r="13" spans="1:40" x14ac:dyDescent="0.35">
      <c r="A13" t="s">
        <v>84</v>
      </c>
      <c r="B13">
        <v>9485904</v>
      </c>
      <c r="C13" t="s">
        <v>40</v>
      </c>
      <c r="D13" t="s">
        <v>284</v>
      </c>
      <c r="E13" t="s">
        <v>102</v>
      </c>
      <c r="F13" t="s">
        <v>285</v>
      </c>
      <c r="G13" t="s">
        <v>102</v>
      </c>
      <c r="H13" t="s">
        <v>85</v>
      </c>
      <c r="I13" t="s">
        <v>86</v>
      </c>
      <c r="J13">
        <v>269</v>
      </c>
      <c r="K13">
        <v>0</v>
      </c>
      <c r="L13">
        <v>271</v>
      </c>
      <c r="M13">
        <v>3171</v>
      </c>
      <c r="N13">
        <v>97</v>
      </c>
      <c r="O13">
        <v>48</v>
      </c>
      <c r="P13">
        <v>24</v>
      </c>
      <c r="Q13">
        <v>24</v>
      </c>
      <c r="R13">
        <v>15.8</v>
      </c>
      <c r="S13">
        <v>345</v>
      </c>
      <c r="T13">
        <v>342</v>
      </c>
      <c r="U13">
        <v>319</v>
      </c>
      <c r="V13">
        <v>330</v>
      </c>
      <c r="W13">
        <v>345</v>
      </c>
      <c r="AI13">
        <v>104</v>
      </c>
      <c r="AJ13">
        <v>207.61063807421419</v>
      </c>
      <c r="AK13">
        <v>0</v>
      </c>
      <c r="AL13">
        <v>11.21</v>
      </c>
      <c r="AM13">
        <v>1.229895931882687</v>
      </c>
      <c r="AN13" t="s">
        <v>306</v>
      </c>
    </row>
    <row r="14" spans="1:40" x14ac:dyDescent="0.35">
      <c r="A14" t="s">
        <v>89</v>
      </c>
      <c r="B14">
        <v>9442392</v>
      </c>
      <c r="C14" t="s">
        <v>54</v>
      </c>
      <c r="D14" t="s">
        <v>286</v>
      </c>
      <c r="E14" t="s">
        <v>102</v>
      </c>
      <c r="F14" t="s">
        <v>286</v>
      </c>
      <c r="G14" t="s">
        <v>294</v>
      </c>
      <c r="H14" t="s">
        <v>91</v>
      </c>
      <c r="I14" t="s">
        <v>86</v>
      </c>
      <c r="J14">
        <v>40</v>
      </c>
      <c r="K14">
        <v>0</v>
      </c>
      <c r="L14">
        <v>48</v>
      </c>
      <c r="M14">
        <v>3090</v>
      </c>
      <c r="N14">
        <v>54.24</v>
      </c>
      <c r="O14">
        <v>28.8</v>
      </c>
      <c r="P14">
        <v>2</v>
      </c>
      <c r="Q14">
        <v>10</v>
      </c>
      <c r="R14">
        <v>0.89</v>
      </c>
      <c r="AI14">
        <v>11</v>
      </c>
      <c r="AJ14">
        <v>144.01294498381881</v>
      </c>
      <c r="AK14">
        <v>10</v>
      </c>
      <c r="AL14">
        <v>8</v>
      </c>
      <c r="AM14">
        <v>1.601941747572815</v>
      </c>
      <c r="AN14" t="s">
        <v>92</v>
      </c>
    </row>
    <row r="15" spans="1:40" x14ac:dyDescent="0.35">
      <c r="A15" t="s">
        <v>89</v>
      </c>
      <c r="B15">
        <v>9442392</v>
      </c>
      <c r="C15" t="s">
        <v>40</v>
      </c>
      <c r="D15" t="s">
        <v>281</v>
      </c>
      <c r="E15" t="s">
        <v>102</v>
      </c>
      <c r="F15" t="s">
        <v>282</v>
      </c>
      <c r="G15" t="s">
        <v>102</v>
      </c>
      <c r="H15" t="s">
        <v>91</v>
      </c>
      <c r="I15" t="s">
        <v>86</v>
      </c>
      <c r="J15">
        <v>256</v>
      </c>
      <c r="K15">
        <v>0</v>
      </c>
      <c r="L15">
        <v>264</v>
      </c>
      <c r="M15">
        <v>4954</v>
      </c>
      <c r="N15">
        <v>72.69</v>
      </c>
      <c r="O15">
        <v>46.1</v>
      </c>
      <c r="P15">
        <v>24</v>
      </c>
      <c r="Q15">
        <v>24</v>
      </c>
      <c r="R15">
        <v>21.4</v>
      </c>
      <c r="S15">
        <v>365</v>
      </c>
      <c r="T15">
        <v>358</v>
      </c>
      <c r="U15">
        <v>340</v>
      </c>
      <c r="V15">
        <v>332</v>
      </c>
      <c r="W15">
        <v>380</v>
      </c>
      <c r="X15">
        <v>330</v>
      </c>
      <c r="AI15">
        <v>130</v>
      </c>
      <c r="AJ15">
        <v>179.98923428879019</v>
      </c>
      <c r="AK15">
        <v>24</v>
      </c>
      <c r="AL15">
        <v>10.7</v>
      </c>
      <c r="AM15">
        <v>0.98405329027048849</v>
      </c>
      <c r="AN15" t="s">
        <v>307</v>
      </c>
    </row>
    <row r="16" spans="1:40" x14ac:dyDescent="0.35">
      <c r="A16" t="s">
        <v>89</v>
      </c>
      <c r="B16">
        <v>9442392</v>
      </c>
      <c r="C16" t="s">
        <v>40</v>
      </c>
      <c r="D16" t="s">
        <v>282</v>
      </c>
      <c r="E16" t="s">
        <v>102</v>
      </c>
      <c r="F16" t="s">
        <v>283</v>
      </c>
      <c r="G16" t="s">
        <v>102</v>
      </c>
      <c r="H16" t="s">
        <v>91</v>
      </c>
      <c r="I16" t="s">
        <v>86</v>
      </c>
      <c r="J16">
        <v>260</v>
      </c>
      <c r="K16">
        <v>0</v>
      </c>
      <c r="L16">
        <v>256</v>
      </c>
      <c r="M16">
        <v>4958</v>
      </c>
      <c r="N16">
        <v>71.2</v>
      </c>
      <c r="O16">
        <v>46.2</v>
      </c>
      <c r="P16">
        <v>24</v>
      </c>
      <c r="Q16">
        <v>24</v>
      </c>
      <c r="R16">
        <v>21.42</v>
      </c>
      <c r="S16">
        <v>362</v>
      </c>
      <c r="T16">
        <v>368</v>
      </c>
      <c r="U16">
        <v>338</v>
      </c>
      <c r="V16">
        <v>329</v>
      </c>
      <c r="W16">
        <v>376</v>
      </c>
      <c r="X16">
        <v>333</v>
      </c>
      <c r="AI16">
        <v>130</v>
      </c>
      <c r="AJ16">
        <v>180.0121016538927</v>
      </c>
      <c r="AK16">
        <v>24</v>
      </c>
      <c r="AL16">
        <v>10.75</v>
      </c>
      <c r="AM16">
        <v>0.98325937878176684</v>
      </c>
      <c r="AN16" t="s">
        <v>109</v>
      </c>
    </row>
    <row r="17" spans="1:40" x14ac:dyDescent="0.35">
      <c r="A17" t="s">
        <v>89</v>
      </c>
      <c r="B17">
        <v>9442392</v>
      </c>
      <c r="C17" t="s">
        <v>40</v>
      </c>
      <c r="D17" t="s">
        <v>283</v>
      </c>
      <c r="E17" t="s">
        <v>102</v>
      </c>
      <c r="F17" t="s">
        <v>284</v>
      </c>
      <c r="G17" t="s">
        <v>102</v>
      </c>
      <c r="H17" t="s">
        <v>91</v>
      </c>
      <c r="I17" t="s">
        <v>86</v>
      </c>
      <c r="J17">
        <v>253</v>
      </c>
      <c r="K17">
        <v>0</v>
      </c>
      <c r="L17">
        <v>256</v>
      </c>
      <c r="M17">
        <v>4641</v>
      </c>
      <c r="N17">
        <v>69.94</v>
      </c>
      <c r="O17">
        <v>43.2</v>
      </c>
      <c r="P17">
        <v>24</v>
      </c>
      <c r="Q17">
        <v>24</v>
      </c>
      <c r="R17">
        <v>20.05</v>
      </c>
      <c r="S17">
        <v>342</v>
      </c>
      <c r="T17">
        <v>345</v>
      </c>
      <c r="U17">
        <v>320</v>
      </c>
      <c r="V17">
        <v>315</v>
      </c>
      <c r="W17">
        <v>349</v>
      </c>
      <c r="X17">
        <v>305</v>
      </c>
      <c r="AI17">
        <v>122</v>
      </c>
      <c r="AJ17">
        <v>180.0079005961359</v>
      </c>
      <c r="AK17">
        <v>24</v>
      </c>
      <c r="AL17">
        <v>10.54</v>
      </c>
      <c r="AM17">
        <v>0.98577892695539759</v>
      </c>
      <c r="AN17" t="s">
        <v>109</v>
      </c>
    </row>
    <row r="18" spans="1:40" x14ac:dyDescent="0.35">
      <c r="A18" t="s">
        <v>89</v>
      </c>
      <c r="B18">
        <v>9442392</v>
      </c>
      <c r="C18" t="s">
        <v>40</v>
      </c>
      <c r="D18" t="s">
        <v>284</v>
      </c>
      <c r="E18" t="s">
        <v>102</v>
      </c>
      <c r="F18" t="s">
        <v>285</v>
      </c>
      <c r="G18" t="s">
        <v>102</v>
      </c>
      <c r="H18" t="s">
        <v>308</v>
      </c>
      <c r="I18" t="s">
        <v>86</v>
      </c>
      <c r="J18">
        <v>250</v>
      </c>
      <c r="K18">
        <v>0</v>
      </c>
      <c r="L18">
        <v>256</v>
      </c>
      <c r="M18">
        <v>4907</v>
      </c>
      <c r="N18">
        <v>71.34</v>
      </c>
      <c r="O18">
        <v>45.7</v>
      </c>
      <c r="P18">
        <v>24</v>
      </c>
      <c r="Q18">
        <v>24</v>
      </c>
      <c r="R18">
        <v>21.2</v>
      </c>
      <c r="S18">
        <v>362</v>
      </c>
      <c r="T18">
        <v>365</v>
      </c>
      <c r="U18">
        <v>332</v>
      </c>
      <c r="V18">
        <v>334</v>
      </c>
      <c r="W18">
        <v>377</v>
      </c>
      <c r="X18">
        <v>327</v>
      </c>
      <c r="AI18">
        <v>128</v>
      </c>
      <c r="AJ18">
        <v>180.01494463691321</v>
      </c>
      <c r="AK18">
        <v>24</v>
      </c>
      <c r="AL18">
        <v>10.41</v>
      </c>
      <c r="AM18">
        <v>0.97819441614020786</v>
      </c>
      <c r="AN18" t="s">
        <v>109</v>
      </c>
    </row>
    <row r="19" spans="1:40" x14ac:dyDescent="0.35">
      <c r="A19" t="s">
        <v>89</v>
      </c>
      <c r="B19">
        <v>9442392</v>
      </c>
      <c r="C19" t="s">
        <v>40</v>
      </c>
      <c r="D19" t="s">
        <v>285</v>
      </c>
      <c r="E19" t="s">
        <v>102</v>
      </c>
      <c r="F19" t="s">
        <v>279</v>
      </c>
      <c r="G19" t="s">
        <v>102</v>
      </c>
      <c r="H19" t="s">
        <v>91</v>
      </c>
      <c r="I19" t="s">
        <v>86</v>
      </c>
      <c r="J19">
        <v>258</v>
      </c>
      <c r="K19">
        <v>0</v>
      </c>
      <c r="L19">
        <v>252</v>
      </c>
      <c r="M19">
        <v>4907</v>
      </c>
      <c r="N19">
        <v>71.19</v>
      </c>
      <c r="O19">
        <v>45.7</v>
      </c>
      <c r="P19">
        <v>24</v>
      </c>
      <c r="Q19">
        <v>24</v>
      </c>
      <c r="R19">
        <v>21.2</v>
      </c>
      <c r="S19">
        <v>365</v>
      </c>
      <c r="T19">
        <v>360</v>
      </c>
      <c r="U19">
        <v>339</v>
      </c>
      <c r="V19">
        <v>329</v>
      </c>
      <c r="W19">
        <v>379</v>
      </c>
      <c r="X19">
        <v>319</v>
      </c>
      <c r="AI19">
        <v>128</v>
      </c>
      <c r="AJ19">
        <v>180.01494463691321</v>
      </c>
      <c r="AK19">
        <v>24</v>
      </c>
      <c r="AL19">
        <v>10.75</v>
      </c>
      <c r="AM19">
        <v>0.97819441614020786</v>
      </c>
      <c r="AN19" t="s">
        <v>109</v>
      </c>
    </row>
    <row r="20" spans="1:40" x14ac:dyDescent="0.35">
      <c r="A20" t="s">
        <v>89</v>
      </c>
      <c r="B20">
        <v>9442392</v>
      </c>
      <c r="C20" t="s">
        <v>40</v>
      </c>
      <c r="D20" t="s">
        <v>279</v>
      </c>
      <c r="E20" t="s">
        <v>102</v>
      </c>
      <c r="F20" t="s">
        <v>280</v>
      </c>
      <c r="G20" t="s">
        <v>102</v>
      </c>
      <c r="H20" t="s">
        <v>91</v>
      </c>
      <c r="I20" t="s">
        <v>86</v>
      </c>
      <c r="J20">
        <v>269</v>
      </c>
      <c r="K20">
        <v>0</v>
      </c>
      <c r="L20">
        <v>272</v>
      </c>
      <c r="M20">
        <v>4968</v>
      </c>
      <c r="N20">
        <v>72</v>
      </c>
      <c r="O20">
        <v>46.3</v>
      </c>
      <c r="P20">
        <v>24</v>
      </c>
      <c r="Q20">
        <v>24</v>
      </c>
      <c r="R20">
        <v>21.46</v>
      </c>
      <c r="S20">
        <v>354</v>
      </c>
      <c r="T20">
        <v>351</v>
      </c>
      <c r="U20">
        <v>333</v>
      </c>
      <c r="V20">
        <v>326</v>
      </c>
      <c r="W20">
        <v>369</v>
      </c>
      <c r="X20">
        <v>320</v>
      </c>
      <c r="AI20">
        <v>130</v>
      </c>
      <c r="AJ20">
        <v>179.98523886205049</v>
      </c>
      <c r="AK20">
        <v>24</v>
      </c>
      <c r="AL20">
        <v>11.2</v>
      </c>
      <c r="AM20">
        <v>0.981280193236715</v>
      </c>
      <c r="AN20" t="s">
        <v>109</v>
      </c>
    </row>
    <row r="21" spans="1:40" x14ac:dyDescent="0.35">
      <c r="A21" t="s">
        <v>93</v>
      </c>
      <c r="B21">
        <v>9640994</v>
      </c>
      <c r="C21" t="s">
        <v>40</v>
      </c>
      <c r="D21" t="s">
        <v>286</v>
      </c>
      <c r="E21" t="s">
        <v>102</v>
      </c>
      <c r="F21" t="s">
        <v>281</v>
      </c>
      <c r="G21" t="s">
        <v>102</v>
      </c>
      <c r="H21">
        <v>99</v>
      </c>
      <c r="I21" t="s">
        <v>94</v>
      </c>
      <c r="J21">
        <v>317</v>
      </c>
      <c r="K21">
        <v>0</v>
      </c>
      <c r="L21">
        <v>317</v>
      </c>
      <c r="M21">
        <v>5900</v>
      </c>
      <c r="N21">
        <v>77.239999999999995</v>
      </c>
      <c r="O21">
        <v>45.38</v>
      </c>
      <c r="P21">
        <v>24</v>
      </c>
      <c r="Q21">
        <v>24</v>
      </c>
      <c r="R21">
        <v>24.6</v>
      </c>
      <c r="S21">
        <v>311</v>
      </c>
      <c r="T21">
        <v>307</v>
      </c>
      <c r="U21">
        <v>342</v>
      </c>
      <c r="V21">
        <v>308</v>
      </c>
      <c r="W21">
        <v>318</v>
      </c>
      <c r="X21">
        <v>340</v>
      </c>
      <c r="AI21">
        <v>159</v>
      </c>
      <c r="AJ21">
        <v>173.72881355932199</v>
      </c>
      <c r="AK21">
        <v>24</v>
      </c>
      <c r="AL21">
        <v>13.21</v>
      </c>
      <c r="AM21">
        <v>1.0105932203389829</v>
      </c>
      <c r="AN21" t="s">
        <v>297</v>
      </c>
    </row>
    <row r="22" spans="1:40" x14ac:dyDescent="0.35">
      <c r="A22" t="s">
        <v>93</v>
      </c>
      <c r="B22">
        <v>9640994</v>
      </c>
      <c r="C22" t="s">
        <v>40</v>
      </c>
      <c r="D22" t="s">
        <v>281</v>
      </c>
      <c r="E22" t="s">
        <v>102</v>
      </c>
      <c r="F22" t="s">
        <v>282</v>
      </c>
      <c r="G22" t="s">
        <v>102</v>
      </c>
      <c r="H22">
        <v>99</v>
      </c>
      <c r="I22" t="s">
        <v>94</v>
      </c>
      <c r="J22">
        <v>318</v>
      </c>
      <c r="K22">
        <v>0</v>
      </c>
      <c r="L22">
        <v>318</v>
      </c>
      <c r="M22">
        <v>5900</v>
      </c>
      <c r="N22">
        <v>77.260000000000005</v>
      </c>
      <c r="O22">
        <v>45.38</v>
      </c>
      <c r="P22">
        <v>24</v>
      </c>
      <c r="Q22">
        <v>24</v>
      </c>
      <c r="R22">
        <v>25.1</v>
      </c>
      <c r="S22">
        <v>314</v>
      </c>
      <c r="T22">
        <v>315</v>
      </c>
      <c r="U22">
        <v>350</v>
      </c>
      <c r="V22">
        <v>319</v>
      </c>
      <c r="W22">
        <v>321</v>
      </c>
      <c r="X22">
        <v>342</v>
      </c>
      <c r="AI22">
        <v>177.3</v>
      </c>
      <c r="AJ22">
        <v>177.25988700564969</v>
      </c>
      <c r="AK22">
        <v>0</v>
      </c>
      <c r="AL22">
        <v>13.25</v>
      </c>
      <c r="AM22">
        <v>1.126906779661017</v>
      </c>
      <c r="AN22" t="s">
        <v>297</v>
      </c>
    </row>
    <row r="23" spans="1:40" x14ac:dyDescent="0.35">
      <c r="A23" t="s">
        <v>93</v>
      </c>
      <c r="B23">
        <v>9640994</v>
      </c>
      <c r="C23" t="s">
        <v>40</v>
      </c>
      <c r="D23" t="s">
        <v>282</v>
      </c>
      <c r="E23" t="s">
        <v>102</v>
      </c>
      <c r="F23" t="s">
        <v>283</v>
      </c>
      <c r="G23" t="s">
        <v>102</v>
      </c>
      <c r="H23">
        <v>99</v>
      </c>
      <c r="I23" t="s">
        <v>94</v>
      </c>
      <c r="J23">
        <v>320</v>
      </c>
      <c r="K23">
        <v>0</v>
      </c>
      <c r="L23">
        <v>320</v>
      </c>
      <c r="M23">
        <v>5900</v>
      </c>
      <c r="N23">
        <v>77.38</v>
      </c>
      <c r="O23">
        <v>45.38</v>
      </c>
      <c r="P23">
        <v>24</v>
      </c>
      <c r="Q23">
        <v>24</v>
      </c>
      <c r="R23">
        <v>24.9</v>
      </c>
      <c r="S23">
        <v>317</v>
      </c>
      <c r="T23">
        <v>312</v>
      </c>
      <c r="U23">
        <v>345</v>
      </c>
      <c r="V23">
        <v>315</v>
      </c>
      <c r="W23">
        <v>318</v>
      </c>
      <c r="X23">
        <v>339</v>
      </c>
      <c r="AI23">
        <v>162</v>
      </c>
      <c r="AJ23">
        <v>175.84745762711859</v>
      </c>
      <c r="AK23">
        <v>0</v>
      </c>
      <c r="AL23">
        <v>13.33</v>
      </c>
      <c r="AM23">
        <v>1.029661016949152</v>
      </c>
      <c r="AN23" t="s">
        <v>297</v>
      </c>
    </row>
    <row r="24" spans="1:40" x14ac:dyDescent="0.35">
      <c r="A24" t="s">
        <v>93</v>
      </c>
      <c r="B24">
        <v>9640994</v>
      </c>
      <c r="C24" t="s">
        <v>40</v>
      </c>
      <c r="D24" t="s">
        <v>283</v>
      </c>
      <c r="E24" t="s">
        <v>102</v>
      </c>
      <c r="F24" t="s">
        <v>284</v>
      </c>
      <c r="G24" t="s">
        <v>102</v>
      </c>
      <c r="H24">
        <v>99</v>
      </c>
      <c r="I24" t="s">
        <v>94</v>
      </c>
      <c r="J24">
        <v>317</v>
      </c>
      <c r="K24">
        <v>0</v>
      </c>
      <c r="L24">
        <v>317</v>
      </c>
      <c r="M24">
        <v>6150</v>
      </c>
      <c r="N24">
        <v>77.66</v>
      </c>
      <c r="O24">
        <v>47.31</v>
      </c>
      <c r="P24">
        <v>24</v>
      </c>
      <c r="Q24">
        <v>24</v>
      </c>
      <c r="R24">
        <v>25.4</v>
      </c>
      <c r="S24">
        <v>310</v>
      </c>
      <c r="T24">
        <v>305</v>
      </c>
      <c r="U24">
        <v>334</v>
      </c>
      <c r="V24">
        <v>311</v>
      </c>
      <c r="W24">
        <v>313</v>
      </c>
      <c r="X24">
        <v>335</v>
      </c>
      <c r="AI24">
        <v>164</v>
      </c>
      <c r="AJ24">
        <v>172.0867208672087</v>
      </c>
      <c r="AK24">
        <v>0</v>
      </c>
      <c r="AL24">
        <v>13.21</v>
      </c>
      <c r="AM24">
        <v>1</v>
      </c>
      <c r="AN24" t="s">
        <v>297</v>
      </c>
    </row>
    <row r="25" spans="1:40" x14ac:dyDescent="0.35">
      <c r="A25" t="s">
        <v>93</v>
      </c>
      <c r="B25">
        <v>9640994</v>
      </c>
      <c r="C25" t="s">
        <v>40</v>
      </c>
      <c r="D25" t="s">
        <v>284</v>
      </c>
      <c r="E25" t="s">
        <v>102</v>
      </c>
      <c r="F25" t="s">
        <v>285</v>
      </c>
      <c r="G25" t="s">
        <v>102</v>
      </c>
      <c r="H25">
        <v>99</v>
      </c>
      <c r="I25" t="s">
        <v>143</v>
      </c>
      <c r="J25">
        <v>310</v>
      </c>
      <c r="K25">
        <v>1</v>
      </c>
      <c r="L25">
        <v>310</v>
      </c>
      <c r="M25">
        <v>5900</v>
      </c>
      <c r="N25">
        <v>75.5</v>
      </c>
      <c r="O25">
        <v>45.38</v>
      </c>
      <c r="P25">
        <v>23</v>
      </c>
      <c r="Q25">
        <v>23</v>
      </c>
      <c r="R25">
        <v>23.65</v>
      </c>
      <c r="S25">
        <v>310</v>
      </c>
      <c r="T25">
        <v>305</v>
      </c>
      <c r="U25">
        <v>334</v>
      </c>
      <c r="V25">
        <v>311</v>
      </c>
      <c r="W25">
        <v>313</v>
      </c>
      <c r="X25">
        <v>335</v>
      </c>
      <c r="AI25">
        <v>151</v>
      </c>
      <c r="AJ25">
        <v>174.28150331613861</v>
      </c>
      <c r="AK25">
        <v>0</v>
      </c>
      <c r="AL25">
        <v>13.48</v>
      </c>
      <c r="AM25">
        <v>1.001473839351511</v>
      </c>
      <c r="AN25" t="s">
        <v>297</v>
      </c>
    </row>
    <row r="26" spans="1:40" x14ac:dyDescent="0.35">
      <c r="A26" t="s">
        <v>93</v>
      </c>
      <c r="B26">
        <v>9640994</v>
      </c>
      <c r="C26" t="s">
        <v>40</v>
      </c>
      <c r="D26" t="s">
        <v>285</v>
      </c>
      <c r="E26" t="s">
        <v>102</v>
      </c>
      <c r="F26" t="s">
        <v>279</v>
      </c>
      <c r="G26" t="s">
        <v>102</v>
      </c>
      <c r="H26">
        <v>99</v>
      </c>
      <c r="I26" t="s">
        <v>94</v>
      </c>
      <c r="J26">
        <v>320</v>
      </c>
      <c r="K26">
        <v>0</v>
      </c>
      <c r="L26">
        <v>320</v>
      </c>
      <c r="M26">
        <v>6000</v>
      </c>
      <c r="N26">
        <v>76.81</v>
      </c>
      <c r="O26">
        <v>46.15</v>
      </c>
      <c r="P26">
        <v>24</v>
      </c>
      <c r="Q26">
        <v>24</v>
      </c>
      <c r="R26">
        <v>24.85</v>
      </c>
      <c r="S26">
        <v>313</v>
      </c>
      <c r="T26">
        <v>310</v>
      </c>
      <c r="U26">
        <v>338</v>
      </c>
      <c r="V26">
        <v>311</v>
      </c>
      <c r="W26">
        <v>314</v>
      </c>
      <c r="X26">
        <v>332</v>
      </c>
      <c r="AI26">
        <v>164</v>
      </c>
      <c r="AJ26">
        <v>172.56944444444451</v>
      </c>
      <c r="AK26">
        <v>0</v>
      </c>
      <c r="AL26">
        <v>13.33</v>
      </c>
      <c r="AM26">
        <v>1.0249999999999999</v>
      </c>
      <c r="AN26" t="s">
        <v>297</v>
      </c>
    </row>
    <row r="27" spans="1:40" x14ac:dyDescent="0.35">
      <c r="A27" t="s">
        <v>93</v>
      </c>
      <c r="B27">
        <v>9640994</v>
      </c>
      <c r="C27" t="s">
        <v>40</v>
      </c>
      <c r="D27" t="s">
        <v>279</v>
      </c>
      <c r="E27" t="s">
        <v>102</v>
      </c>
      <c r="F27" t="s">
        <v>280</v>
      </c>
      <c r="G27" t="s">
        <v>102</v>
      </c>
      <c r="H27">
        <v>99</v>
      </c>
      <c r="I27" t="s">
        <v>129</v>
      </c>
      <c r="J27">
        <v>305</v>
      </c>
      <c r="K27">
        <v>1</v>
      </c>
      <c r="L27">
        <v>305</v>
      </c>
      <c r="M27">
        <v>6000</v>
      </c>
      <c r="N27">
        <v>76.17</v>
      </c>
      <c r="O27">
        <v>46.15</v>
      </c>
      <c r="P27">
        <v>23</v>
      </c>
      <c r="Q27">
        <v>23</v>
      </c>
      <c r="R27">
        <v>23.3</v>
      </c>
      <c r="S27">
        <v>308</v>
      </c>
      <c r="T27">
        <v>310</v>
      </c>
      <c r="U27">
        <v>343</v>
      </c>
      <c r="V27">
        <v>308</v>
      </c>
      <c r="W27">
        <v>313</v>
      </c>
      <c r="X27">
        <v>333</v>
      </c>
      <c r="AI27">
        <v>150</v>
      </c>
      <c r="AJ27">
        <v>168.84057971014491</v>
      </c>
      <c r="AK27">
        <v>0</v>
      </c>
      <c r="AL27">
        <v>13.26</v>
      </c>
      <c r="AM27">
        <v>0.97826086956521741</v>
      </c>
      <c r="AN27" t="s">
        <v>297</v>
      </c>
    </row>
    <row r="28" spans="1:40" x14ac:dyDescent="0.35">
      <c r="A28" t="s">
        <v>97</v>
      </c>
      <c r="B28">
        <v>9506540</v>
      </c>
      <c r="C28" t="s">
        <v>47</v>
      </c>
      <c r="D28" t="s">
        <v>285</v>
      </c>
      <c r="E28" t="s">
        <v>309</v>
      </c>
      <c r="F28" t="s">
        <v>279</v>
      </c>
      <c r="G28" t="s">
        <v>102</v>
      </c>
      <c r="H28">
        <v>151</v>
      </c>
      <c r="I28" t="s">
        <v>42</v>
      </c>
      <c r="K28">
        <v>0</v>
      </c>
      <c r="L28">
        <v>25</v>
      </c>
      <c r="M28">
        <v>0</v>
      </c>
      <c r="O28">
        <v>0</v>
      </c>
      <c r="P28">
        <v>0</v>
      </c>
      <c r="Q28">
        <v>17.2</v>
      </c>
      <c r="R28">
        <v>0</v>
      </c>
      <c r="AI28">
        <v>0</v>
      </c>
      <c r="AJ28">
        <v>0</v>
      </c>
      <c r="AK28">
        <v>16.2</v>
      </c>
      <c r="AL28">
        <v>0</v>
      </c>
      <c r="AM28">
        <v>0</v>
      </c>
      <c r="AN28" t="s">
        <v>310</v>
      </c>
    </row>
    <row r="29" spans="1:40" x14ac:dyDescent="0.35">
      <c r="A29" t="s">
        <v>97</v>
      </c>
      <c r="B29">
        <v>9506540</v>
      </c>
      <c r="C29" t="s">
        <v>145</v>
      </c>
      <c r="D29" t="s">
        <v>279</v>
      </c>
      <c r="E29" t="s">
        <v>311</v>
      </c>
      <c r="F29" t="s">
        <v>280</v>
      </c>
      <c r="G29" t="s">
        <v>312</v>
      </c>
      <c r="H29">
        <v>151</v>
      </c>
      <c r="I29" t="s">
        <v>42</v>
      </c>
      <c r="K29">
        <v>0</v>
      </c>
      <c r="M29">
        <v>0</v>
      </c>
      <c r="O29">
        <v>0</v>
      </c>
      <c r="P29">
        <v>0</v>
      </c>
      <c r="Q29">
        <v>9</v>
      </c>
      <c r="R29">
        <v>0</v>
      </c>
      <c r="AI29">
        <v>0</v>
      </c>
      <c r="AJ29">
        <v>0</v>
      </c>
      <c r="AK29">
        <v>16.2</v>
      </c>
      <c r="AL29">
        <v>0</v>
      </c>
      <c r="AM29">
        <v>0</v>
      </c>
      <c r="AN29" t="s">
        <v>313</v>
      </c>
    </row>
    <row r="30" spans="1:40" x14ac:dyDescent="0.35">
      <c r="A30" t="s">
        <v>200</v>
      </c>
      <c r="B30">
        <v>9603609</v>
      </c>
      <c r="C30" t="s">
        <v>40</v>
      </c>
      <c r="D30" t="s">
        <v>282</v>
      </c>
      <c r="E30" t="s">
        <v>314</v>
      </c>
      <c r="F30" t="s">
        <v>283</v>
      </c>
      <c r="G30" t="s">
        <v>102</v>
      </c>
      <c r="H30">
        <v>22</v>
      </c>
      <c r="I30" t="s">
        <v>45</v>
      </c>
      <c r="J30">
        <v>291</v>
      </c>
      <c r="K30">
        <v>0</v>
      </c>
      <c r="L30">
        <v>329</v>
      </c>
      <c r="M30">
        <v>6201</v>
      </c>
      <c r="N30">
        <v>61.4</v>
      </c>
      <c r="O30">
        <v>28.9</v>
      </c>
      <c r="P30">
        <v>21</v>
      </c>
      <c r="Q30">
        <v>21.5</v>
      </c>
      <c r="R30">
        <v>25.8</v>
      </c>
      <c r="S30">
        <v>310</v>
      </c>
      <c r="T30">
        <v>37</v>
      </c>
      <c r="U30">
        <v>328</v>
      </c>
      <c r="V30">
        <v>333</v>
      </c>
      <c r="W30">
        <v>317</v>
      </c>
      <c r="X30">
        <v>307</v>
      </c>
      <c r="Y30">
        <v>315</v>
      </c>
      <c r="AI30">
        <v>210</v>
      </c>
      <c r="AJ30">
        <v>198.12472642661319</v>
      </c>
      <c r="AK30">
        <v>21.5</v>
      </c>
      <c r="AL30">
        <v>13.88</v>
      </c>
      <c r="AM30">
        <v>1.4513788098693761</v>
      </c>
      <c r="AN30" t="s">
        <v>315</v>
      </c>
    </row>
    <row r="31" spans="1:40" x14ac:dyDescent="0.35">
      <c r="A31" t="s">
        <v>161</v>
      </c>
      <c r="B31">
        <v>9204726</v>
      </c>
      <c r="C31" t="s">
        <v>40</v>
      </c>
      <c r="D31" t="s">
        <v>282</v>
      </c>
      <c r="E31" t="s">
        <v>102</v>
      </c>
      <c r="F31" t="s">
        <v>283</v>
      </c>
      <c r="G31" t="s">
        <v>102</v>
      </c>
      <c r="H31" t="s">
        <v>316</v>
      </c>
      <c r="I31" t="s">
        <v>42</v>
      </c>
      <c r="J31">
        <v>236.2</v>
      </c>
      <c r="K31">
        <v>0</v>
      </c>
      <c r="L31">
        <v>225.8</v>
      </c>
      <c r="M31">
        <v>4680</v>
      </c>
      <c r="N31">
        <v>457</v>
      </c>
      <c r="O31">
        <v>60</v>
      </c>
      <c r="P31">
        <v>24</v>
      </c>
      <c r="Q31">
        <v>24</v>
      </c>
      <c r="R31">
        <v>12.1</v>
      </c>
      <c r="S31">
        <v>431</v>
      </c>
      <c r="T31">
        <v>489</v>
      </c>
      <c r="U31">
        <v>494</v>
      </c>
      <c r="V31">
        <v>401</v>
      </c>
      <c r="W31">
        <v>383</v>
      </c>
      <c r="X31">
        <v>452</v>
      </c>
      <c r="Y31">
        <v>396</v>
      </c>
      <c r="Z31">
        <v>338</v>
      </c>
      <c r="AI31">
        <v>0</v>
      </c>
      <c r="AJ31">
        <v>107.72792022792019</v>
      </c>
      <c r="AK31">
        <v>24</v>
      </c>
      <c r="AL31">
        <v>9.8000000000000007</v>
      </c>
      <c r="AM31">
        <v>0</v>
      </c>
      <c r="AN31" t="s">
        <v>317</v>
      </c>
    </row>
    <row r="32" spans="1:40" x14ac:dyDescent="0.35">
      <c r="A32" t="s">
        <v>161</v>
      </c>
      <c r="B32">
        <v>9204726</v>
      </c>
      <c r="C32" t="s">
        <v>40</v>
      </c>
      <c r="D32" t="s">
        <v>283</v>
      </c>
      <c r="E32" t="s">
        <v>102</v>
      </c>
      <c r="F32" t="s">
        <v>284</v>
      </c>
      <c r="G32" t="s">
        <v>102</v>
      </c>
      <c r="H32" t="s">
        <v>318</v>
      </c>
      <c r="I32" t="s">
        <v>42</v>
      </c>
      <c r="J32">
        <v>236</v>
      </c>
      <c r="K32">
        <v>0</v>
      </c>
      <c r="L32">
        <v>264</v>
      </c>
      <c r="M32">
        <v>4680</v>
      </c>
      <c r="N32">
        <v>457</v>
      </c>
      <c r="O32">
        <v>60</v>
      </c>
      <c r="P32">
        <v>24</v>
      </c>
      <c r="Q32">
        <v>24</v>
      </c>
      <c r="R32">
        <v>12.1</v>
      </c>
      <c r="S32">
        <v>424</v>
      </c>
      <c r="T32">
        <v>454</v>
      </c>
      <c r="U32">
        <v>509</v>
      </c>
      <c r="V32">
        <v>401</v>
      </c>
      <c r="W32">
        <v>407</v>
      </c>
      <c r="X32">
        <v>467</v>
      </c>
      <c r="Y32">
        <v>399</v>
      </c>
      <c r="Z32">
        <v>365</v>
      </c>
      <c r="AI32">
        <v>0</v>
      </c>
      <c r="AJ32">
        <v>107.72792022792019</v>
      </c>
      <c r="AK32">
        <v>24</v>
      </c>
      <c r="AL32">
        <v>9.8000000000000007</v>
      </c>
      <c r="AM32">
        <v>0</v>
      </c>
      <c r="AN32" t="s">
        <v>319</v>
      </c>
    </row>
    <row r="33" spans="1:40" x14ac:dyDescent="0.35">
      <c r="A33" t="s">
        <v>161</v>
      </c>
      <c r="B33">
        <v>9204726</v>
      </c>
      <c r="C33" t="s">
        <v>40</v>
      </c>
      <c r="D33" t="s">
        <v>284</v>
      </c>
      <c r="E33" t="s">
        <v>102</v>
      </c>
      <c r="F33" t="s">
        <v>285</v>
      </c>
      <c r="G33" t="s">
        <v>102</v>
      </c>
      <c r="H33" t="s">
        <v>318</v>
      </c>
      <c r="I33" t="s">
        <v>42</v>
      </c>
      <c r="J33">
        <v>260.60000000000002</v>
      </c>
      <c r="K33">
        <v>0</v>
      </c>
      <c r="L33">
        <v>260.14999999999998</v>
      </c>
      <c r="M33">
        <v>4680</v>
      </c>
      <c r="N33">
        <v>460</v>
      </c>
      <c r="O33">
        <v>60</v>
      </c>
      <c r="P33">
        <v>24</v>
      </c>
      <c r="Q33">
        <v>24</v>
      </c>
      <c r="R33">
        <v>12.5</v>
      </c>
      <c r="S33">
        <v>431</v>
      </c>
      <c r="T33">
        <v>489</v>
      </c>
      <c r="U33">
        <v>494</v>
      </c>
      <c r="V33">
        <v>401</v>
      </c>
      <c r="W33">
        <v>383</v>
      </c>
      <c r="X33">
        <v>452</v>
      </c>
      <c r="Y33">
        <v>396</v>
      </c>
      <c r="Z33">
        <v>338</v>
      </c>
      <c r="AI33">
        <v>0</v>
      </c>
      <c r="AJ33">
        <v>111.2891737891738</v>
      </c>
      <c r="AK33">
        <v>0</v>
      </c>
      <c r="AL33">
        <v>11.3</v>
      </c>
      <c r="AM33">
        <v>0</v>
      </c>
      <c r="AN33" t="s">
        <v>320</v>
      </c>
    </row>
    <row r="34" spans="1:40" x14ac:dyDescent="0.35">
      <c r="A34" t="s">
        <v>161</v>
      </c>
      <c r="B34">
        <v>9204726</v>
      </c>
      <c r="C34" t="s">
        <v>40</v>
      </c>
      <c r="D34" t="s">
        <v>285</v>
      </c>
      <c r="E34" t="s">
        <v>102</v>
      </c>
      <c r="F34" t="s">
        <v>279</v>
      </c>
      <c r="G34" t="s">
        <v>102</v>
      </c>
      <c r="H34" t="s">
        <v>316</v>
      </c>
      <c r="I34" t="s">
        <v>45</v>
      </c>
      <c r="J34">
        <v>243.8</v>
      </c>
      <c r="K34">
        <v>1</v>
      </c>
      <c r="L34">
        <v>259.10000000000002</v>
      </c>
      <c r="M34">
        <v>5070</v>
      </c>
      <c r="N34">
        <v>459</v>
      </c>
      <c r="O34">
        <v>65</v>
      </c>
      <c r="P34">
        <v>24</v>
      </c>
      <c r="Q34">
        <v>23</v>
      </c>
      <c r="R34">
        <v>11.9</v>
      </c>
      <c r="S34">
        <v>431</v>
      </c>
      <c r="T34">
        <v>489</v>
      </c>
      <c r="U34">
        <v>494</v>
      </c>
      <c r="V34">
        <v>401</v>
      </c>
      <c r="W34">
        <v>383</v>
      </c>
      <c r="X34">
        <v>452</v>
      </c>
      <c r="Y34">
        <v>396</v>
      </c>
      <c r="Z34">
        <v>338</v>
      </c>
      <c r="AI34">
        <v>0</v>
      </c>
      <c r="AJ34">
        <v>97.797501643655494</v>
      </c>
      <c r="AK34">
        <v>24</v>
      </c>
      <c r="AL34">
        <v>10.6</v>
      </c>
      <c r="AM34">
        <v>0</v>
      </c>
      <c r="AN34" t="s">
        <v>321</v>
      </c>
    </row>
    <row r="35" spans="1:40" x14ac:dyDescent="0.35">
      <c r="A35" t="s">
        <v>161</v>
      </c>
      <c r="B35">
        <v>9204726</v>
      </c>
      <c r="C35" t="s">
        <v>40</v>
      </c>
      <c r="D35" t="s">
        <v>279</v>
      </c>
      <c r="E35" t="s">
        <v>102</v>
      </c>
      <c r="F35" t="s">
        <v>280</v>
      </c>
      <c r="G35" t="s">
        <v>102</v>
      </c>
      <c r="H35" t="s">
        <v>318</v>
      </c>
      <c r="I35" t="s">
        <v>42</v>
      </c>
      <c r="J35">
        <v>267.8</v>
      </c>
      <c r="K35">
        <v>0</v>
      </c>
      <c r="L35">
        <v>269.39999999999998</v>
      </c>
      <c r="M35">
        <v>5070</v>
      </c>
      <c r="N35">
        <v>459</v>
      </c>
      <c r="O35">
        <v>65</v>
      </c>
      <c r="P35">
        <v>24</v>
      </c>
      <c r="Q35">
        <v>24</v>
      </c>
      <c r="R35">
        <v>11.5</v>
      </c>
      <c r="S35">
        <v>431</v>
      </c>
      <c r="T35">
        <v>489</v>
      </c>
      <c r="U35">
        <v>494</v>
      </c>
      <c r="V35">
        <v>401</v>
      </c>
      <c r="W35">
        <v>383</v>
      </c>
      <c r="X35">
        <v>452</v>
      </c>
      <c r="Y35">
        <v>396</v>
      </c>
      <c r="Z35">
        <v>338</v>
      </c>
      <c r="AI35">
        <v>0</v>
      </c>
      <c r="AJ35">
        <v>94.510190664036813</v>
      </c>
      <c r="AK35">
        <v>24</v>
      </c>
      <c r="AL35">
        <v>11.1</v>
      </c>
      <c r="AM35">
        <v>0</v>
      </c>
      <c r="AN35" t="s">
        <v>322</v>
      </c>
    </row>
    <row r="36" spans="1:40" x14ac:dyDescent="0.35">
      <c r="A36" t="s">
        <v>207</v>
      </c>
      <c r="B36">
        <v>9448138</v>
      </c>
      <c r="C36" t="s">
        <v>40</v>
      </c>
      <c r="D36" t="s">
        <v>286</v>
      </c>
      <c r="E36" t="s">
        <v>208</v>
      </c>
      <c r="F36" t="s">
        <v>281</v>
      </c>
      <c r="G36" t="s">
        <v>208</v>
      </c>
      <c r="H36" t="s">
        <v>323</v>
      </c>
      <c r="I36" t="s">
        <v>45</v>
      </c>
      <c r="J36">
        <v>316</v>
      </c>
      <c r="K36">
        <v>-1</v>
      </c>
      <c r="L36">
        <v>468.7</v>
      </c>
      <c r="M36">
        <v>6771</v>
      </c>
      <c r="N36">
        <v>99.5</v>
      </c>
      <c r="O36">
        <v>47.61</v>
      </c>
      <c r="P36">
        <v>25</v>
      </c>
      <c r="Q36">
        <v>25</v>
      </c>
      <c r="R36">
        <v>35.32</v>
      </c>
      <c r="S36">
        <v>350</v>
      </c>
      <c r="T36">
        <v>340</v>
      </c>
      <c r="U36">
        <v>330</v>
      </c>
      <c r="V36">
        <v>320</v>
      </c>
      <c r="W36">
        <v>325</v>
      </c>
      <c r="X36">
        <v>340</v>
      </c>
      <c r="Y36">
        <v>320</v>
      </c>
      <c r="Z36">
        <v>325</v>
      </c>
      <c r="AA36">
        <v>340</v>
      </c>
      <c r="AI36">
        <v>193</v>
      </c>
      <c r="AJ36">
        <v>208.65455619553981</v>
      </c>
      <c r="AK36">
        <v>0</v>
      </c>
      <c r="AL36">
        <v>12.64</v>
      </c>
      <c r="AM36">
        <v>1.0261408949933539</v>
      </c>
      <c r="AN36" t="s">
        <v>324</v>
      </c>
    </row>
    <row r="37" spans="1:40" x14ac:dyDescent="0.35">
      <c r="A37" t="s">
        <v>207</v>
      </c>
      <c r="B37">
        <v>9448138</v>
      </c>
      <c r="C37" t="s">
        <v>40</v>
      </c>
      <c r="D37" t="s">
        <v>281</v>
      </c>
      <c r="E37" t="s">
        <v>208</v>
      </c>
      <c r="F37" t="s">
        <v>282</v>
      </c>
      <c r="G37" t="s">
        <v>208</v>
      </c>
      <c r="H37" t="s">
        <v>323</v>
      </c>
      <c r="I37" t="s">
        <v>45</v>
      </c>
      <c r="J37">
        <v>307</v>
      </c>
      <c r="K37">
        <v>0</v>
      </c>
      <c r="L37">
        <v>447</v>
      </c>
      <c r="M37">
        <v>6046</v>
      </c>
      <c r="N37">
        <v>98.85</v>
      </c>
      <c r="O37">
        <v>42.52</v>
      </c>
      <c r="P37">
        <v>24</v>
      </c>
      <c r="Q37">
        <v>24</v>
      </c>
      <c r="R37">
        <v>32.14</v>
      </c>
      <c r="S37">
        <v>345</v>
      </c>
      <c r="T37">
        <v>340</v>
      </c>
      <c r="U37">
        <v>320</v>
      </c>
      <c r="V37">
        <v>320</v>
      </c>
      <c r="W37">
        <v>320</v>
      </c>
      <c r="X37">
        <v>340</v>
      </c>
      <c r="Y37">
        <v>330</v>
      </c>
      <c r="Z37">
        <v>325</v>
      </c>
      <c r="AA37">
        <v>340</v>
      </c>
      <c r="AI37">
        <v>173</v>
      </c>
      <c r="AJ37">
        <v>221.49630609769551</v>
      </c>
      <c r="AK37">
        <v>0</v>
      </c>
      <c r="AL37">
        <v>12.79</v>
      </c>
      <c r="AM37">
        <v>1.0730234866027131</v>
      </c>
      <c r="AN37" t="s">
        <v>325</v>
      </c>
    </row>
    <row r="38" spans="1:40" x14ac:dyDescent="0.35">
      <c r="A38" t="s">
        <v>207</v>
      </c>
      <c r="B38">
        <v>9448138</v>
      </c>
      <c r="C38" t="s">
        <v>40</v>
      </c>
      <c r="D38" t="s">
        <v>282</v>
      </c>
      <c r="E38" t="s">
        <v>208</v>
      </c>
      <c r="F38" t="s">
        <v>283</v>
      </c>
      <c r="G38" t="s">
        <v>208</v>
      </c>
      <c r="H38" t="s">
        <v>326</v>
      </c>
      <c r="I38" t="s">
        <v>45</v>
      </c>
      <c r="J38">
        <v>372</v>
      </c>
      <c r="K38">
        <v>0</v>
      </c>
      <c r="L38">
        <v>465.3</v>
      </c>
      <c r="M38">
        <v>6478</v>
      </c>
      <c r="N38">
        <v>102.9</v>
      </c>
      <c r="O38">
        <v>45.55</v>
      </c>
      <c r="P38">
        <v>24</v>
      </c>
      <c r="Q38">
        <v>24</v>
      </c>
      <c r="R38">
        <v>33.18</v>
      </c>
      <c r="S38">
        <v>355</v>
      </c>
      <c r="T38">
        <v>350</v>
      </c>
      <c r="U38">
        <v>330</v>
      </c>
      <c r="V38">
        <v>330</v>
      </c>
      <c r="W38">
        <v>330</v>
      </c>
      <c r="X38">
        <v>350</v>
      </c>
      <c r="Y38">
        <v>330</v>
      </c>
      <c r="Z38">
        <v>330</v>
      </c>
      <c r="AA38">
        <v>345</v>
      </c>
      <c r="AI38">
        <v>180</v>
      </c>
      <c r="AJ38">
        <v>213.41463414634151</v>
      </c>
      <c r="AK38">
        <v>0</v>
      </c>
      <c r="AL38">
        <v>15.5</v>
      </c>
      <c r="AM38">
        <v>1.0419882679839461</v>
      </c>
      <c r="AN38" t="s">
        <v>327</v>
      </c>
    </row>
    <row r="39" spans="1:40" x14ac:dyDescent="0.35">
      <c r="A39" t="s">
        <v>207</v>
      </c>
      <c r="B39">
        <v>9448138</v>
      </c>
      <c r="C39" t="s">
        <v>40</v>
      </c>
      <c r="D39" t="s">
        <v>283</v>
      </c>
      <c r="E39" t="s">
        <v>208</v>
      </c>
      <c r="F39" t="s">
        <v>284</v>
      </c>
      <c r="G39" t="s">
        <v>208</v>
      </c>
      <c r="H39" t="s">
        <v>323</v>
      </c>
      <c r="I39" t="s">
        <v>42</v>
      </c>
      <c r="J39">
        <v>404</v>
      </c>
      <c r="K39">
        <v>-1</v>
      </c>
      <c r="L39">
        <v>490</v>
      </c>
      <c r="M39">
        <v>6954</v>
      </c>
      <c r="N39">
        <v>104</v>
      </c>
      <c r="O39">
        <v>46</v>
      </c>
      <c r="P39">
        <v>25</v>
      </c>
      <c r="Q39">
        <v>25</v>
      </c>
      <c r="R39">
        <v>34.6</v>
      </c>
      <c r="S39">
        <v>360</v>
      </c>
      <c r="T39">
        <v>350</v>
      </c>
      <c r="U39">
        <v>340</v>
      </c>
      <c r="V39">
        <v>330</v>
      </c>
      <c r="W39">
        <v>325</v>
      </c>
      <c r="X39">
        <v>360</v>
      </c>
      <c r="Y39">
        <v>335</v>
      </c>
      <c r="Z39">
        <v>330</v>
      </c>
      <c r="AA39">
        <v>345</v>
      </c>
      <c r="AI39">
        <v>190</v>
      </c>
      <c r="AJ39">
        <v>199.02214552775379</v>
      </c>
      <c r="AK39">
        <v>0</v>
      </c>
      <c r="AL39">
        <v>16.16</v>
      </c>
      <c r="AM39">
        <v>0.98360655737704916</v>
      </c>
      <c r="AN39" t="s">
        <v>328</v>
      </c>
    </row>
    <row r="40" spans="1:40" x14ac:dyDescent="0.35">
      <c r="A40" t="s">
        <v>207</v>
      </c>
      <c r="B40">
        <v>9448138</v>
      </c>
      <c r="C40" t="s">
        <v>145</v>
      </c>
      <c r="D40" t="s">
        <v>285</v>
      </c>
      <c r="E40" t="s">
        <v>208</v>
      </c>
      <c r="F40" t="s">
        <v>279</v>
      </c>
      <c r="G40" t="s">
        <v>208</v>
      </c>
      <c r="H40" t="s">
        <v>323</v>
      </c>
      <c r="I40" t="s">
        <v>42</v>
      </c>
      <c r="J40">
        <v>0</v>
      </c>
      <c r="K40">
        <v>0</v>
      </c>
      <c r="L40">
        <v>0</v>
      </c>
      <c r="M40">
        <v>0</v>
      </c>
      <c r="N40">
        <v>0</v>
      </c>
      <c r="O40">
        <v>0</v>
      </c>
      <c r="P40">
        <v>5.9</v>
      </c>
      <c r="Q40">
        <v>24</v>
      </c>
      <c r="R40">
        <v>2.2000000000000002</v>
      </c>
      <c r="AI40">
        <v>33</v>
      </c>
      <c r="AJ40">
        <v>0</v>
      </c>
      <c r="AK40">
        <v>1.65</v>
      </c>
      <c r="AL40">
        <v>0</v>
      </c>
      <c r="AM40">
        <v>0</v>
      </c>
      <c r="AN40" t="s">
        <v>329</v>
      </c>
    </row>
    <row r="41" spans="1:40" x14ac:dyDescent="0.35">
      <c r="A41" t="s">
        <v>167</v>
      </c>
      <c r="B41">
        <v>9431836</v>
      </c>
      <c r="C41" t="s">
        <v>54</v>
      </c>
      <c r="D41" t="s">
        <v>284</v>
      </c>
      <c r="E41" t="s">
        <v>330</v>
      </c>
      <c r="F41" t="s">
        <v>284</v>
      </c>
      <c r="G41" t="s">
        <v>331</v>
      </c>
      <c r="H41" t="s">
        <v>332</v>
      </c>
      <c r="I41" t="s">
        <v>139</v>
      </c>
      <c r="J41">
        <v>13</v>
      </c>
      <c r="K41">
        <v>0</v>
      </c>
      <c r="L41">
        <v>13</v>
      </c>
      <c r="M41">
        <v>2582.9</v>
      </c>
      <c r="N41">
        <v>66.3</v>
      </c>
      <c r="O41">
        <v>18.100000000000001</v>
      </c>
      <c r="P41">
        <v>1.4</v>
      </c>
      <c r="Q41">
        <v>1.6</v>
      </c>
      <c r="R41">
        <v>0.6</v>
      </c>
      <c r="AI41">
        <v>8</v>
      </c>
      <c r="AJ41">
        <v>165.92645033544801</v>
      </c>
      <c r="AK41">
        <v>1.6</v>
      </c>
      <c r="AL41">
        <v>8.5</v>
      </c>
      <c r="AM41">
        <v>1.9911174040253761</v>
      </c>
      <c r="AN41" t="s">
        <v>333</v>
      </c>
    </row>
    <row r="42" spans="1:40" x14ac:dyDescent="0.35">
      <c r="A42" t="s">
        <v>167</v>
      </c>
      <c r="B42">
        <v>9431836</v>
      </c>
      <c r="C42" t="s">
        <v>40</v>
      </c>
      <c r="D42" t="s">
        <v>284</v>
      </c>
      <c r="E42" t="s">
        <v>102</v>
      </c>
      <c r="F42" t="s">
        <v>285</v>
      </c>
      <c r="G42" t="s">
        <v>334</v>
      </c>
      <c r="H42" t="s">
        <v>332</v>
      </c>
      <c r="I42" t="s">
        <v>139</v>
      </c>
      <c r="J42">
        <v>345</v>
      </c>
      <c r="K42">
        <v>0</v>
      </c>
      <c r="L42">
        <v>339</v>
      </c>
      <c r="M42">
        <v>6109.3</v>
      </c>
      <c r="N42">
        <v>102.8</v>
      </c>
      <c r="O42">
        <v>42.9</v>
      </c>
      <c r="P42">
        <v>21.6</v>
      </c>
      <c r="Q42">
        <v>21.6</v>
      </c>
      <c r="R42">
        <v>25.2</v>
      </c>
      <c r="S42">
        <v>352</v>
      </c>
      <c r="T42">
        <v>360</v>
      </c>
      <c r="U42">
        <v>361</v>
      </c>
      <c r="V42">
        <v>363</v>
      </c>
      <c r="W42">
        <v>354</v>
      </c>
      <c r="X42">
        <v>368</v>
      </c>
      <c r="Y42">
        <v>353</v>
      </c>
      <c r="Z42">
        <v>364</v>
      </c>
      <c r="AA42">
        <v>368</v>
      </c>
      <c r="AI42">
        <v>143</v>
      </c>
      <c r="AJ42">
        <v>190.96568619427211</v>
      </c>
      <c r="AK42">
        <v>6</v>
      </c>
      <c r="AL42">
        <v>15.97</v>
      </c>
      <c r="AM42">
        <v>0.97528904020646112</v>
      </c>
      <c r="AN42" t="s">
        <v>157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02271-412F-4019-8A2C-3CDDF933B004}">
  <dimension ref="A1:G24"/>
  <sheetViews>
    <sheetView tabSelected="1" workbookViewId="0">
      <selection activeCell="K17" sqref="K17"/>
    </sheetView>
  </sheetViews>
  <sheetFormatPr defaultRowHeight="14.5" x14ac:dyDescent="0.35"/>
  <cols>
    <col min="12" max="12" width="30.453125" customWidth="1"/>
  </cols>
  <sheetData>
    <row r="1" spans="1:7" ht="58" x14ac:dyDescent="0.35">
      <c r="A1" s="4" t="s">
        <v>269</v>
      </c>
      <c r="B1" s="5" t="s">
        <v>270</v>
      </c>
      <c r="C1" s="5" t="s">
        <v>271</v>
      </c>
      <c r="D1" s="5" t="s">
        <v>272</v>
      </c>
      <c r="E1" s="5" t="s">
        <v>273</v>
      </c>
      <c r="F1" s="5" t="s">
        <v>335</v>
      </c>
      <c r="G1" s="5" t="s">
        <v>274</v>
      </c>
    </row>
    <row r="2" spans="1:7" ht="29" x14ac:dyDescent="0.35">
      <c r="A2" s="6" t="s">
        <v>100</v>
      </c>
      <c r="B2" s="7">
        <v>0</v>
      </c>
      <c r="C2" s="7">
        <v>2</v>
      </c>
      <c r="D2" s="7">
        <v>0</v>
      </c>
      <c r="E2" s="7">
        <v>2</v>
      </c>
      <c r="F2" s="7">
        <v>1</v>
      </c>
      <c r="G2" s="5">
        <f>SUM(B2:F2)</f>
        <v>5</v>
      </c>
    </row>
    <row r="3" spans="1:7" x14ac:dyDescent="0.35">
      <c r="A3" s="6" t="s">
        <v>39</v>
      </c>
      <c r="B3" s="7">
        <v>0</v>
      </c>
      <c r="C3" s="7">
        <v>0</v>
      </c>
      <c r="D3" s="7">
        <v>1</v>
      </c>
      <c r="E3" s="7">
        <v>2</v>
      </c>
      <c r="F3" s="7">
        <v>0</v>
      </c>
      <c r="G3" s="5">
        <f t="shared" ref="G3:G24" si="0">SUM(B3:F3)</f>
        <v>3</v>
      </c>
    </row>
    <row r="4" spans="1:7" ht="29" x14ac:dyDescent="0.35">
      <c r="A4" s="6" t="s">
        <v>110</v>
      </c>
      <c r="B4" s="7">
        <v>2</v>
      </c>
      <c r="C4" s="7">
        <v>5</v>
      </c>
      <c r="D4" s="7">
        <v>0</v>
      </c>
      <c r="E4" s="7">
        <v>0</v>
      </c>
      <c r="F4" s="7">
        <v>0</v>
      </c>
      <c r="G4" s="5">
        <f t="shared" si="0"/>
        <v>7</v>
      </c>
    </row>
    <row r="5" spans="1:7" ht="29" x14ac:dyDescent="0.35">
      <c r="A5" s="6" t="s">
        <v>44</v>
      </c>
      <c r="B5" s="7">
        <v>0</v>
      </c>
      <c r="C5" s="7">
        <v>0</v>
      </c>
      <c r="D5" s="7">
        <v>8</v>
      </c>
      <c r="E5" s="7">
        <v>0</v>
      </c>
      <c r="F5" s="7">
        <v>0</v>
      </c>
      <c r="G5" s="5">
        <f t="shared" si="0"/>
        <v>8</v>
      </c>
    </row>
    <row r="6" spans="1:7" ht="29" x14ac:dyDescent="0.35">
      <c r="A6" s="6" t="s">
        <v>57</v>
      </c>
      <c r="B6" s="7">
        <v>0</v>
      </c>
      <c r="C6" s="7">
        <v>0</v>
      </c>
      <c r="D6" s="7">
        <v>6</v>
      </c>
      <c r="E6" s="7">
        <v>1</v>
      </c>
      <c r="F6" s="7">
        <v>5</v>
      </c>
      <c r="G6" s="5">
        <f t="shared" si="0"/>
        <v>12</v>
      </c>
    </row>
    <row r="7" spans="1:7" x14ac:dyDescent="0.35">
      <c r="A7" s="6" t="s">
        <v>65</v>
      </c>
      <c r="B7" s="7">
        <v>4</v>
      </c>
      <c r="C7" s="7">
        <v>7</v>
      </c>
      <c r="D7" s="7">
        <v>4</v>
      </c>
      <c r="E7" s="7">
        <v>3</v>
      </c>
      <c r="F7" s="7">
        <v>0</v>
      </c>
      <c r="G7" s="5">
        <f t="shared" si="0"/>
        <v>18</v>
      </c>
    </row>
    <row r="8" spans="1:7" ht="29" x14ac:dyDescent="0.35">
      <c r="A8" s="6" t="s">
        <v>275</v>
      </c>
      <c r="B8" s="7">
        <v>5</v>
      </c>
      <c r="C8" s="7">
        <v>6</v>
      </c>
      <c r="D8" s="7">
        <v>4</v>
      </c>
      <c r="E8" s="7">
        <v>0</v>
      </c>
      <c r="F8" s="7">
        <v>0</v>
      </c>
      <c r="G8" s="5">
        <f t="shared" si="0"/>
        <v>15</v>
      </c>
    </row>
    <row r="9" spans="1:7" ht="29" x14ac:dyDescent="0.35">
      <c r="A9" s="6" t="s">
        <v>74</v>
      </c>
      <c r="B9" s="7">
        <v>1</v>
      </c>
      <c r="C9" s="7">
        <v>5</v>
      </c>
      <c r="D9" s="7">
        <v>2</v>
      </c>
      <c r="E9" s="7">
        <v>2</v>
      </c>
      <c r="F9" s="7">
        <v>1</v>
      </c>
      <c r="G9" s="5">
        <f t="shared" si="0"/>
        <v>11</v>
      </c>
    </row>
    <row r="10" spans="1:7" ht="29" x14ac:dyDescent="0.35">
      <c r="A10" s="6" t="s">
        <v>276</v>
      </c>
      <c r="B10" s="7">
        <v>0</v>
      </c>
      <c r="C10" s="7">
        <v>0</v>
      </c>
      <c r="D10" s="7">
        <v>4</v>
      </c>
      <c r="E10" s="7">
        <v>4</v>
      </c>
      <c r="F10" s="7">
        <v>3</v>
      </c>
      <c r="G10" s="5">
        <f t="shared" si="0"/>
        <v>11</v>
      </c>
    </row>
    <row r="11" spans="1:7" x14ac:dyDescent="0.35">
      <c r="A11" s="6" t="s">
        <v>150</v>
      </c>
      <c r="B11" s="7">
        <v>2</v>
      </c>
      <c r="C11" s="7">
        <v>1</v>
      </c>
      <c r="D11" s="7">
        <v>0</v>
      </c>
      <c r="E11" s="7">
        <v>0</v>
      </c>
      <c r="F11" s="7">
        <v>0</v>
      </c>
      <c r="G11" s="5">
        <f t="shared" si="0"/>
        <v>3</v>
      </c>
    </row>
    <row r="12" spans="1:7" ht="29" x14ac:dyDescent="0.35">
      <c r="A12" s="6" t="s">
        <v>84</v>
      </c>
      <c r="B12" s="7">
        <v>0</v>
      </c>
      <c r="C12" s="7">
        <v>0</v>
      </c>
      <c r="D12" s="7">
        <v>2</v>
      </c>
      <c r="E12" s="7">
        <v>1</v>
      </c>
      <c r="F12" s="7">
        <v>2</v>
      </c>
      <c r="G12" s="5">
        <f t="shared" si="0"/>
        <v>5</v>
      </c>
    </row>
    <row r="13" spans="1:7" ht="29" x14ac:dyDescent="0.35">
      <c r="A13" s="6" t="s">
        <v>89</v>
      </c>
      <c r="B13" s="7">
        <v>7</v>
      </c>
      <c r="C13" s="7">
        <v>7</v>
      </c>
      <c r="D13" s="7">
        <v>6</v>
      </c>
      <c r="E13" s="7">
        <v>7</v>
      </c>
      <c r="F13" s="7">
        <v>7</v>
      </c>
      <c r="G13" s="5">
        <f t="shared" si="0"/>
        <v>34</v>
      </c>
    </row>
    <row r="14" spans="1:7" ht="29" x14ac:dyDescent="0.35">
      <c r="A14" s="6" t="s">
        <v>248</v>
      </c>
      <c r="B14" s="7">
        <v>0</v>
      </c>
      <c r="C14" s="7">
        <v>0</v>
      </c>
      <c r="D14" s="7">
        <v>0</v>
      </c>
      <c r="E14" s="7">
        <v>3</v>
      </c>
      <c r="F14" s="7">
        <v>0</v>
      </c>
      <c r="G14" s="5">
        <f t="shared" si="0"/>
        <v>3</v>
      </c>
    </row>
    <row r="15" spans="1:7" ht="29" x14ac:dyDescent="0.35">
      <c r="A15" s="6" t="s">
        <v>193</v>
      </c>
      <c r="B15" s="7">
        <v>2</v>
      </c>
      <c r="C15" s="7">
        <v>0</v>
      </c>
      <c r="D15" s="7">
        <v>0</v>
      </c>
      <c r="E15" s="7">
        <v>1</v>
      </c>
      <c r="F15" s="7">
        <v>0</v>
      </c>
      <c r="G15" s="5">
        <f t="shared" si="0"/>
        <v>3</v>
      </c>
    </row>
    <row r="16" spans="1:7" ht="29" x14ac:dyDescent="0.35">
      <c r="A16" s="6" t="s">
        <v>93</v>
      </c>
      <c r="B16" s="7">
        <v>0</v>
      </c>
      <c r="C16" s="7">
        <v>2</v>
      </c>
      <c r="D16" s="7">
        <v>4</v>
      </c>
      <c r="E16" s="7">
        <v>0</v>
      </c>
      <c r="F16" s="7">
        <v>7</v>
      </c>
      <c r="G16" s="5">
        <f t="shared" si="0"/>
        <v>13</v>
      </c>
    </row>
    <row r="17" spans="1:7" ht="29" x14ac:dyDescent="0.35">
      <c r="A17" s="6" t="s">
        <v>97</v>
      </c>
      <c r="B17" s="7">
        <v>1</v>
      </c>
      <c r="C17" s="7">
        <v>1</v>
      </c>
      <c r="D17" s="7">
        <v>1</v>
      </c>
      <c r="E17" s="7">
        <v>0</v>
      </c>
      <c r="F17" s="7">
        <v>2</v>
      </c>
      <c r="G17" s="5">
        <f t="shared" si="0"/>
        <v>5</v>
      </c>
    </row>
    <row r="18" spans="1:7" ht="29" x14ac:dyDescent="0.35">
      <c r="A18" s="6" t="s">
        <v>199</v>
      </c>
      <c r="B18" s="7">
        <v>1</v>
      </c>
      <c r="C18" s="7">
        <v>0</v>
      </c>
      <c r="D18" s="7">
        <v>0</v>
      </c>
      <c r="E18" s="7">
        <v>0</v>
      </c>
      <c r="F18" s="7">
        <v>0</v>
      </c>
      <c r="G18" s="5">
        <f t="shared" si="0"/>
        <v>1</v>
      </c>
    </row>
    <row r="19" spans="1:7" ht="29" x14ac:dyDescent="0.35">
      <c r="A19" s="6" t="s">
        <v>200</v>
      </c>
      <c r="B19" s="7">
        <v>3</v>
      </c>
      <c r="C19" s="7">
        <v>0</v>
      </c>
      <c r="D19" s="7">
        <v>0</v>
      </c>
      <c r="E19" s="7">
        <v>3</v>
      </c>
      <c r="F19" s="7">
        <v>1</v>
      </c>
      <c r="G19" s="5">
        <f t="shared" si="0"/>
        <v>7</v>
      </c>
    </row>
    <row r="20" spans="1:7" ht="58" x14ac:dyDescent="0.35">
      <c r="A20" s="6" t="s">
        <v>260</v>
      </c>
      <c r="B20" s="7">
        <v>0</v>
      </c>
      <c r="C20" s="7">
        <v>0</v>
      </c>
      <c r="D20" s="7">
        <v>0</v>
      </c>
      <c r="E20" s="7">
        <v>5</v>
      </c>
      <c r="F20" s="7">
        <v>0</v>
      </c>
      <c r="G20" s="5">
        <f t="shared" si="0"/>
        <v>5</v>
      </c>
    </row>
    <row r="21" spans="1:7" ht="29" x14ac:dyDescent="0.35">
      <c r="A21" s="6" t="s">
        <v>161</v>
      </c>
      <c r="B21" s="7">
        <v>0</v>
      </c>
      <c r="C21" s="7">
        <v>4</v>
      </c>
      <c r="D21" s="7">
        <v>0</v>
      </c>
      <c r="E21" s="7">
        <v>0</v>
      </c>
      <c r="F21" s="7">
        <v>5</v>
      </c>
      <c r="G21" s="5">
        <f t="shared" si="0"/>
        <v>9</v>
      </c>
    </row>
    <row r="22" spans="1:7" ht="29" x14ac:dyDescent="0.35">
      <c r="A22" s="6" t="s">
        <v>207</v>
      </c>
      <c r="B22" s="7">
        <v>3</v>
      </c>
      <c r="C22" s="7">
        <v>0</v>
      </c>
      <c r="D22" s="7">
        <v>0</v>
      </c>
      <c r="E22" s="7">
        <v>3</v>
      </c>
      <c r="F22" s="7">
        <v>5</v>
      </c>
      <c r="G22" s="5">
        <f t="shared" si="0"/>
        <v>11</v>
      </c>
    </row>
    <row r="23" spans="1:7" ht="43.5" x14ac:dyDescent="0.35">
      <c r="A23" s="6" t="s">
        <v>167</v>
      </c>
      <c r="B23" s="7">
        <v>0</v>
      </c>
      <c r="C23" s="7">
        <v>2</v>
      </c>
      <c r="D23" s="7">
        <v>0</v>
      </c>
      <c r="E23" s="7">
        <v>0</v>
      </c>
      <c r="F23" s="7">
        <v>2</v>
      </c>
      <c r="G23" s="5">
        <f t="shared" si="0"/>
        <v>4</v>
      </c>
    </row>
    <row r="24" spans="1:7" ht="29" x14ac:dyDescent="0.35">
      <c r="A24" s="8" t="s">
        <v>277</v>
      </c>
      <c r="B24" s="5">
        <v>31</v>
      </c>
      <c r="C24" s="5">
        <v>42</v>
      </c>
      <c r="D24" s="5">
        <v>38</v>
      </c>
      <c r="E24" s="5">
        <v>40</v>
      </c>
      <c r="F24" s="5">
        <f>SUM(F2:F23)</f>
        <v>41</v>
      </c>
      <c r="G24" s="5">
        <f t="shared" si="0"/>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Week 1(25 May-31 May)</vt:lpstr>
      <vt:lpstr>Week 2(01 Jun - 07 Jun)</vt:lpstr>
      <vt:lpstr>Week 3(08 Jun - 15 Jun)</vt:lpstr>
      <vt:lpstr>Week 4(16 Jun - 22 Jun)</vt:lpstr>
      <vt:lpstr>Week 5(21 Jun-28 Jun)</vt:lpstr>
      <vt:lpstr>Mail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Soni Rana</dc:creator>
  <cp:lastModifiedBy>Soni Rana</cp:lastModifiedBy>
  <dcterms:created xsi:type="dcterms:W3CDTF">2026-07-02T10:32:50Z</dcterms:created>
  <dcterms:modified xsi:type="dcterms:W3CDTF">2026-07-13T10:45:08Z</dcterms:modified>
</cp:coreProperties>
</file>